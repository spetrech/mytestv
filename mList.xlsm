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Doc\mingw\test\"/>
    </mc:Choice>
  </mc:AlternateContent>
  <bookViews>
    <workbookView xWindow="0" yWindow="0" windowWidth="2160" windowHeight="0"/>
  </bookViews>
  <sheets>
    <sheet name="List" sheetId="1" r:id="rId1"/>
    <sheet name="TODO" sheetId="5" r:id="rId2"/>
    <sheet name="OA" sheetId="6" r:id="rId3"/>
    <sheet name="Sheet2" sheetId="2" r:id="rId4"/>
    <sheet name="Sheet3" sheetId="3" r:id="rId5"/>
    <sheet name="Sheet1" sheetId="7" r:id="rId6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7" i="5" l="1"/>
  <c r="E1" i="1" l="1"/>
  <c r="F1" i="1" s="1"/>
  <c r="G1" i="1" s="1"/>
  <c r="H1" i="1" s="1"/>
  <c r="I1" i="1" s="1"/>
  <c r="J1" i="1" s="1"/>
  <c r="K1" i="1" s="1"/>
  <c r="L1" i="1" s="1"/>
</calcChain>
</file>

<file path=xl/sharedStrings.xml><?xml version="1.0" encoding="utf-8"?>
<sst xmlns="http://schemas.openxmlformats.org/spreadsheetml/2006/main" count="291" uniqueCount="183">
  <si>
    <t>Jlogic regression, specially SRSZ</t>
  </si>
  <si>
    <t>Done</t>
  </si>
  <si>
    <t>Jlogic FPGA debug</t>
  </si>
  <si>
    <t>MT MCM DVP handshake</t>
  </si>
  <si>
    <t>Lenovo VB gating, changing with JLogic</t>
  </si>
  <si>
    <t>Done but hdr</t>
  </si>
  <si>
    <t>Jlogic debug</t>
  </si>
  <si>
    <t>Todo</t>
  </si>
  <si>
    <t>MCM wrt and ISP online backpressure at same time</t>
  </si>
  <si>
    <t>AI_ISP</t>
    <phoneticPr fontId="1" type="noConversion"/>
  </si>
  <si>
    <t>RAW compression estimation</t>
    <phoneticPr fontId="1" type="noConversion"/>
  </si>
  <si>
    <t>packing  by two line</t>
    <phoneticPr fontId="1" type="noConversion"/>
  </si>
  <si>
    <t>SBI consumer design</t>
    <phoneticPr fontId="1" type="noConversion"/>
  </si>
  <si>
    <t>SBI producer</t>
    <phoneticPr fontId="1" type="noConversion"/>
  </si>
  <si>
    <r>
      <t>RAW compression review</t>
    </r>
    <r>
      <rPr>
        <sz val="10.5"/>
        <color theme="1"/>
        <rFont val="宋体"/>
        <family val="3"/>
        <charset val="134"/>
      </rPr>
      <t>：</t>
    </r>
  </si>
  <si>
    <r>
      <t>2.</t>
    </r>
    <r>
      <rPr>
        <sz val="7"/>
        <color theme="1"/>
        <rFont val="Times New Roman"/>
        <family val="1"/>
      </rPr>
      <t xml:space="preserve">       </t>
    </r>
    <r>
      <rPr>
        <sz val="10.5"/>
        <color theme="1"/>
        <rFont val="Calibri"/>
        <family val="2"/>
      </rPr>
      <t>BLH[21] how to use?</t>
    </r>
  </si>
  <si>
    <r>
      <t xml:space="preserve">3  </t>
    </r>
    <r>
      <rPr>
        <b/>
        <sz val="10"/>
        <color rgb="FF000000"/>
        <rFont val="Calibri"/>
        <family val="2"/>
      </rPr>
      <t>Maxblh how to understand</t>
    </r>
  </si>
  <si>
    <t>4  Max BLH value - (pixelwidth-6) what meaning for pixelwidth-6</t>
  </si>
  <si>
    <r>
      <t xml:space="preserve">5 difference btw bitDepth and </t>
    </r>
    <r>
      <rPr>
        <sz val="10.5"/>
        <color theme="1"/>
        <rFont val="Calibri"/>
        <family val="2"/>
      </rPr>
      <t>pixelwidth</t>
    </r>
  </si>
  <si>
    <t>6. direction’s role</t>
  </si>
  <si>
    <t>7. pixeldepth-6 to pixeldepth+1 how to understand</t>
  </si>
  <si>
    <t>//////</t>
  </si>
  <si>
    <t xml:space="preserve">8. how to calculate </t>
  </si>
  <si>
    <t>ORT algorithm based on 4 positive data points, and output 1 DC and 3 AC residuals. It's</t>
  </si>
  <si>
    <t>lossless by itself??</t>
  </si>
  <si>
    <r>
      <t xml:space="preserve">targetBits </t>
    </r>
    <r>
      <rPr>
        <sz val="11"/>
        <color rgb="FF000000"/>
        <rFont val="Calibri"/>
        <family val="2"/>
      </rPr>
      <t>= floor(tile size* pixel bit depth * compression ratio/8)*8??</t>
    </r>
  </si>
  <si>
    <r>
      <t>1.</t>
    </r>
    <r>
      <rPr>
        <sz val="7"/>
        <color theme="1"/>
        <rFont val="Times New Roman"/>
        <family val="1"/>
      </rPr>
      <t xml:space="preserve">       </t>
    </r>
    <r>
      <rPr>
        <sz val="10.5"/>
        <color theme="1"/>
        <rFont val="Calibri"/>
        <family val="2"/>
      </rPr>
      <t>Residual what meaning? At 4.1, group what to do</t>
    </r>
    <phoneticPr fontId="1" type="noConversion"/>
  </si>
  <si>
    <t>Ari 03</t>
    <phoneticPr fontId="1" type="noConversion"/>
  </si>
  <si>
    <t>E.g., last discarded group is 7, its quantizing bit is 3, and 2 bits are discarded unnecessarily.
In quantizing only residual element 1 of group 7 is shifted by 4, and other 3 residuals are shifted
by only 3</t>
    <phoneticPr fontId="1" type="noConversion"/>
  </si>
  <si>
    <t>tail how to understand</t>
    <phoneticPr fontId="1" type="noConversion"/>
  </si>
  <si>
    <t>YUV define for horizon</t>
    <phoneticPr fontId="1" type="noConversion"/>
  </si>
  <si>
    <t>8210 debug for DPF</t>
    <phoneticPr fontId="1" type="noConversion"/>
  </si>
  <si>
    <t>done</t>
    <phoneticPr fontId="1" type="noConversion"/>
  </si>
  <si>
    <t>Jlogic JIRA Vsync</t>
    <phoneticPr fontId="1" type="noConversion"/>
  </si>
  <si>
    <t>Done</t>
    <phoneticPr fontId="1" type="noConversion"/>
  </si>
  <si>
    <t>Doing</t>
    <phoneticPr fontId="1" type="noConversion"/>
  </si>
  <si>
    <t>Todo</t>
    <phoneticPr fontId="1" type="noConversion"/>
  </si>
  <si>
    <t>Lenovo hierachy</t>
    <phoneticPr fontId="1" type="noConversion"/>
  </si>
  <si>
    <t>todo</t>
    <phoneticPr fontId="1" type="noConversion"/>
  </si>
  <si>
    <t>id</t>
    <phoneticPr fontId="1" type="noConversion"/>
  </si>
  <si>
    <t>data</t>
    <phoneticPr fontId="1" type="noConversion"/>
  </si>
  <si>
    <t>c_id</t>
    <phoneticPr fontId="1" type="noConversion"/>
  </si>
  <si>
    <t>c_dw</t>
    <phoneticPr fontId="1" type="noConversion"/>
  </si>
  <si>
    <t>c_id+c_dw</t>
    <phoneticPr fontId="1" type="noConversion"/>
  </si>
  <si>
    <t>c_id+c_dw+1</t>
    <phoneticPr fontId="1" type="noConversion"/>
  </si>
  <si>
    <t>c_id+c_dw+3</t>
    <phoneticPr fontId="1" type="noConversion"/>
  </si>
  <si>
    <t>c_id+c_dw+2</t>
    <phoneticPr fontId="1" type="noConversion"/>
  </si>
  <si>
    <t>Content</t>
    <phoneticPr fontId="1" type="noConversion"/>
  </si>
  <si>
    <t>Width</t>
    <phoneticPr fontId="1" type="noConversion"/>
  </si>
  <si>
    <t>Start bit</t>
    <phoneticPr fontId="1" type="noConversion"/>
  </si>
  <si>
    <r>
      <rPr>
        <sz val="11"/>
        <color rgb="FFFF0000"/>
        <rFont val="等线"/>
        <family val="3"/>
        <charset val="134"/>
        <scheme val="minor"/>
      </rPr>
      <t>h</t>
    </r>
    <r>
      <rPr>
        <sz val="11"/>
        <color theme="1"/>
        <rFont val="等线"/>
        <family val="2"/>
        <scheme val="minor"/>
      </rPr>
      <t>sync</t>
    </r>
    <phoneticPr fontId="1" type="noConversion"/>
  </si>
  <si>
    <r>
      <rPr>
        <sz val="11"/>
        <color rgb="FFFF0000"/>
        <rFont val="等线"/>
        <family val="3"/>
        <charset val="134"/>
        <scheme val="minor"/>
      </rPr>
      <t>h</t>
    </r>
    <r>
      <rPr>
        <sz val="11"/>
        <color theme="1"/>
        <rFont val="等线"/>
        <family val="2"/>
        <scheme val="minor"/>
      </rPr>
      <t>end</t>
    </r>
    <phoneticPr fontId="1" type="noConversion"/>
  </si>
  <si>
    <r>
      <t>data_</t>
    </r>
    <r>
      <rPr>
        <sz val="11"/>
        <color theme="9" tint="0.39997558519241921"/>
        <rFont val="等线"/>
        <family val="3"/>
        <charset val="134"/>
        <scheme val="minor"/>
      </rPr>
      <t>v</t>
    </r>
    <r>
      <rPr>
        <sz val="11"/>
        <color theme="1"/>
        <rFont val="等线"/>
        <family val="2"/>
        <scheme val="minor"/>
      </rPr>
      <t>al</t>
    </r>
    <phoneticPr fontId="1" type="noConversion"/>
  </si>
  <si>
    <r>
      <rPr>
        <sz val="11"/>
        <color theme="9" tint="0.39997558519241921"/>
        <rFont val="等线"/>
        <family val="3"/>
        <charset val="134"/>
        <scheme val="minor"/>
      </rPr>
      <t>v</t>
    </r>
    <r>
      <rPr>
        <sz val="11"/>
        <color theme="1"/>
        <rFont val="等线"/>
        <family val="2"/>
        <scheme val="minor"/>
      </rPr>
      <t>sync</t>
    </r>
    <phoneticPr fontId="1" type="noConversion"/>
  </si>
  <si>
    <t>绕行带宽？软件？</t>
    <phoneticPr fontId="1" type="noConversion"/>
  </si>
  <si>
    <t>最新bitfile？</t>
    <phoneticPr fontId="1" type="noConversion"/>
  </si>
  <si>
    <t>带宽？</t>
    <phoneticPr fontId="1" type="noConversion"/>
  </si>
  <si>
    <t>大量测试</t>
    <phoneticPr fontId="1" type="noConversion"/>
  </si>
  <si>
    <t>万分之一，软件解决</t>
    <phoneticPr fontId="1" type="noConversion"/>
  </si>
  <si>
    <t>1%DWE跟VSE都不出中断</t>
    <phoneticPr fontId="1" type="noConversion"/>
  </si>
  <si>
    <t>不出中断10% for VSE</t>
    <phoneticPr fontId="1" type="noConversion"/>
  </si>
  <si>
    <t>1.是不是确实44个数据？</t>
    <phoneticPr fontId="1" type="noConversion"/>
  </si>
  <si>
    <t>2.直接替换？</t>
    <phoneticPr fontId="1" type="noConversion"/>
  </si>
  <si>
    <t>SBI PR &amp; PU udpate for new timing</t>
    <phoneticPr fontId="1" type="noConversion"/>
  </si>
  <si>
    <t>SBI CR &amp; CU new for timing, multiplex PR&amp;PU</t>
    <phoneticPr fontId="1" type="noConversion"/>
  </si>
  <si>
    <t>AHB CFG</t>
    <phoneticPr fontId="1" type="noConversion"/>
  </si>
  <si>
    <t>Bayer2NHWC</t>
    <phoneticPr fontId="1" type="noConversion"/>
  </si>
  <si>
    <t>Lenovo HDR modification/VEND shd of dmc</t>
    <phoneticPr fontId="1" type="noConversion"/>
  </si>
  <si>
    <t>sythesis</t>
    <phoneticPr fontId="1" type="noConversion"/>
  </si>
  <si>
    <t>lint</t>
    <phoneticPr fontId="1" type="noConversion"/>
  </si>
  <si>
    <t>dma read by entry</t>
    <phoneticPr fontId="1" type="noConversion"/>
  </si>
  <si>
    <t>makefile by npu link</t>
    <phoneticPr fontId="1" type="noConversion"/>
  </si>
  <si>
    <t>SDC for NPU and ISP</t>
    <phoneticPr fontId="1" type="noConversion"/>
  </si>
  <si>
    <t>run_dir flow</t>
    <phoneticPr fontId="1" type="noConversion"/>
  </si>
  <si>
    <t>doing</t>
    <phoneticPr fontId="1" type="noConversion"/>
  </si>
  <si>
    <t>NN bypass using PPR for read</t>
    <phoneticPr fontId="1" type="noConversion"/>
  </si>
  <si>
    <t>done（no use）</t>
    <phoneticPr fontId="1" type="noConversion"/>
  </si>
  <si>
    <t>blacklevel four value</t>
    <phoneticPr fontId="1" type="noConversion"/>
  </si>
  <si>
    <t>height divide 2 for SBI when nn enable</t>
    <phoneticPr fontId="1" type="noConversion"/>
  </si>
  <si>
    <t>RLS team synthesis</t>
    <phoneticPr fontId="1" type="noConversion"/>
  </si>
  <si>
    <t>JIRA259 &amp; 467  for Lenovo</t>
    <phoneticPr fontId="1" type="noConversion"/>
  </si>
  <si>
    <t>synthesis partition for 9000</t>
    <phoneticPr fontId="1" type="noConversion"/>
  </si>
  <si>
    <t>segment register bit for mcm raw</t>
    <phoneticPr fontId="1" type="noConversion"/>
  </si>
  <si>
    <t>synth</t>
    <phoneticPr fontId="1" type="noConversion"/>
  </si>
  <si>
    <t>nn_preprocess need to ouput continuously(by Xingbo)</t>
    <phoneticPr fontId="1" type="noConversion"/>
  </si>
  <si>
    <t>debug env</t>
    <phoneticPr fontId="1" type="noConversion"/>
  </si>
  <si>
    <t>doc review for glenfy</t>
    <phoneticPr fontId="1" type="noConversion"/>
  </si>
  <si>
    <t>todo</t>
    <phoneticPr fontId="1" type="noConversion"/>
  </si>
  <si>
    <t>done</t>
    <phoneticPr fontId="1" type="noConversion"/>
  </si>
  <si>
    <t>doing</t>
    <phoneticPr fontId="1" type="noConversion"/>
  </si>
  <si>
    <t>base_ad</t>
    <phoneticPr fontId="1" type="noConversion"/>
  </si>
  <si>
    <t>Base address of ID</t>
    <phoneticPr fontId="1" type="noConversion"/>
  </si>
  <si>
    <t>ID</t>
    <phoneticPr fontId="1" type="noConversion"/>
  </si>
  <si>
    <t>base_ad+4096*16*1</t>
    <phoneticPr fontId="1" type="noConversion"/>
  </si>
  <si>
    <t>base_ad+4096*16*2</t>
    <phoneticPr fontId="1" type="noConversion"/>
  </si>
  <si>
    <t>base_ad+4096*16*3</t>
    <phoneticPr fontId="1" type="noConversion"/>
  </si>
  <si>
    <t>MI unit for interleaving id</t>
    <phoneticPr fontId="1" type="noConversion"/>
  </si>
  <si>
    <t>system top for interleaving id</t>
    <phoneticPr fontId="1" type="noConversion"/>
  </si>
  <si>
    <t>Lenovo pipe line bit width confirm for YUV domain</t>
    <phoneticPr fontId="1" type="noConversion"/>
  </si>
  <si>
    <t>AREA estimation confirm for ISP9000AI</t>
    <phoneticPr fontId="1" type="noConversion"/>
  </si>
  <si>
    <t>Project based on TDNRV30, Estimation for Logic and SRAM</t>
    <phoneticPr fontId="1" type="noConversion"/>
  </si>
  <si>
    <t>sp2 raw3 lite frame end interrupt</t>
    <phoneticPr fontId="1" type="noConversion"/>
  </si>
  <si>
    <t>Performance Review</t>
    <phoneticPr fontId="1" type="noConversion"/>
  </si>
  <si>
    <t>TODO</t>
    <phoneticPr fontId="1" type="noConversion"/>
  </si>
  <si>
    <t>Jlogic release again</t>
    <phoneticPr fontId="1" type="noConversion"/>
  </si>
  <si>
    <t>OT standarize</t>
    <phoneticPr fontId="1" type="noConversion"/>
  </si>
  <si>
    <t>done(20-12-10)</t>
    <phoneticPr fontId="1" type="noConversion"/>
  </si>
  <si>
    <t>doing</t>
    <phoneticPr fontId="1" type="noConversion"/>
  </si>
  <si>
    <t>done</t>
    <phoneticPr fontId="1" type="noConversion"/>
  </si>
  <si>
    <t>bring up the bitfile</t>
    <phoneticPr fontId="1" type="noConversion"/>
  </si>
  <si>
    <t>Jlogic pp select register update</t>
    <phoneticPr fontId="1" type="noConversion"/>
  </si>
  <si>
    <t>Jlogic WDR5 update again for backpress</t>
    <phoneticPr fontId="1" type="noConversion"/>
  </si>
  <si>
    <t>AXI Wrapper OT exactly and length split</t>
    <phoneticPr fontId="1" type="noConversion"/>
  </si>
  <si>
    <t>Subsystem</t>
    <phoneticPr fontId="1" type="noConversion"/>
  </si>
  <si>
    <t>Jlogic bitfile in FPGA</t>
    <phoneticPr fontId="1" type="noConversion"/>
  </si>
  <si>
    <t>1. WDR5 
1.1 damping reg read
1.2 WDR backpressure (300-&gt;384)
1.3 overthrow for value
2. ISP_Reg(reg read)
3. TDNR backpress(not update)</t>
    <phoneticPr fontId="1" type="noConversion"/>
  </si>
  <si>
    <t>tracing(to David)</t>
    <phoneticPr fontId="1" type="noConversion"/>
  </si>
  <si>
    <t>9000AI to WeCom</t>
    <phoneticPr fontId="1" type="noConversion"/>
  </si>
  <si>
    <t>CDC check(for 8200)</t>
    <phoneticPr fontId="1" type="noConversion"/>
  </si>
  <si>
    <t>top update for 9000</t>
    <phoneticPr fontId="1" type="noConversion"/>
  </si>
  <si>
    <t>tracing(FPGA-Xianfeng for previous case)</t>
    <phoneticPr fontId="1" type="noConversion"/>
  </si>
  <si>
    <t>9000 debug for vsize not enough</t>
    <phoneticPr fontId="1" type="noConversion"/>
  </si>
  <si>
    <t>Lenovo Jira  PPstream</t>
    <phoneticPr fontId="1" type="noConversion"/>
  </si>
  <si>
    <t>Jlogic CDC JIRA</t>
    <phoneticPr fontId="1" type="noConversion"/>
  </si>
  <si>
    <t>spec for subsys</t>
    <phoneticPr fontId="1" type="noConversion"/>
  </si>
  <si>
    <t>XP offs_en usage(0  or 1)</t>
    <phoneticPr fontId="1" type="noConversion"/>
  </si>
  <si>
    <t>backpressure for 9000 at sensor</t>
    <phoneticPr fontId="1" type="noConversion"/>
  </si>
  <si>
    <t>Lenovo New Project by Oct</t>
    <phoneticPr fontId="1" type="noConversion"/>
  </si>
  <si>
    <t xml:space="preserve">YUV compression </t>
    <phoneticPr fontId="1" type="noConversion"/>
  </si>
  <si>
    <t>Area estimation introduction for Algorithm</t>
    <phoneticPr fontId="1" type="noConversion"/>
  </si>
  <si>
    <t>FE redesign</t>
    <phoneticPr fontId="1" type="noConversion"/>
  </si>
  <si>
    <t>？</t>
    <phoneticPr fontId="1" type="noConversion"/>
  </si>
  <si>
    <t>Halio FE&amp;MCM debug</t>
    <phoneticPr fontId="1" type="noConversion"/>
  </si>
  <si>
    <t>学习认知</t>
    <phoneticPr fontId="1" type="noConversion"/>
  </si>
  <si>
    <t>提升计划</t>
    <phoneticPr fontId="1" type="noConversion"/>
  </si>
  <si>
    <t xml:space="preserve">管理能力包含与"人“直接相关部分以及与"项目&amp;专业"两个方面，
与”人“相关部分，
1）涉及，关心人才，人才招聘，人才培养，人才梯队建设，即人才分工，人才储备
2）涉及人才协调，如何准确表达，如何指导，如何建立信赖
与"项目&amp;专业”相关部分，
1）项目实施进度跟踪，提前预见潜在问题，
2）强调专业能力提升，运用新的方法，提升项目开发效率
3）注重组内知识技术分享、沟通、交流
</t>
    <phoneticPr fontId="1" type="noConversion"/>
  </si>
  <si>
    <t>1）加强沟通，直接沟通
2)  加强关心
3）有侧重的工作内容分配以建立人才储备
4） 通过feedback确认加强准确表达
5） 及时跟踪项目进展，加强流程化管理
6） 持续学习新知识，促进交流分享，以提升流程效率</t>
    <phoneticPr fontId="1" type="noConversion"/>
  </si>
  <si>
    <t>reset_offs_y_mp/frame_start_mp clock issue</t>
    <phoneticPr fontId="1" type="noConversion"/>
  </si>
  <si>
    <t>should use m_hclk</t>
    <phoneticPr fontId="1" type="noConversion"/>
  </si>
  <si>
    <t>TBD</t>
    <phoneticPr fontId="1" type="noConversion"/>
  </si>
  <si>
    <t>9000 debug</t>
    <phoneticPr fontId="1" type="noConversion"/>
  </si>
  <si>
    <t>compression</t>
    <phoneticPr fontId="1" type="noConversion"/>
  </si>
  <si>
    <t xml:space="preserve">lenovo doc </t>
    <phoneticPr fontId="1" type="noConversion"/>
  </si>
  <si>
    <t>NPU new version up</t>
    <phoneticPr fontId="1" type="noConversion"/>
  </si>
  <si>
    <t>FE allowing write for AHB while FE working for 8000</t>
    <phoneticPr fontId="1" type="noConversion"/>
  </si>
  <si>
    <t>sensor interface backpressure by congying</t>
    <phoneticPr fontId="1" type="noConversion"/>
  </si>
  <si>
    <t>raw compression for FLEXA SBI issue</t>
    <phoneticPr fontId="1" type="noConversion"/>
  </si>
  <si>
    <t xml:space="preserve">user guide check </t>
    <phoneticPr fontId="1" type="noConversion"/>
  </si>
  <si>
    <t>mcm inform cropping function</t>
    <phoneticPr fontId="1" type="noConversion"/>
  </si>
  <si>
    <t>9000 NPU update for round trip IO</t>
    <phoneticPr fontId="1" type="noConversion"/>
  </si>
  <si>
    <t>DMSC v2 change</t>
    <phoneticPr fontId="1" type="noConversion"/>
  </si>
  <si>
    <t>9000 synthesis for ISP</t>
    <phoneticPr fontId="1" type="noConversion"/>
  </si>
  <si>
    <t>9000 case for new RTL</t>
    <phoneticPr fontId="1" type="noConversion"/>
  </si>
  <si>
    <t xml:space="preserve">Current project with DEC </t>
    <phoneticPr fontId="1" type="noConversion"/>
  </si>
  <si>
    <t>pvci_sync_wrapper B2B</t>
    <phoneticPr fontId="1" type="noConversion"/>
  </si>
  <si>
    <t>dmscv3 area estimation</t>
    <phoneticPr fontId="1" type="noConversion"/>
  </si>
  <si>
    <t>doing (wait arch)</t>
    <phoneticPr fontId="1" type="noConversion"/>
  </si>
  <si>
    <t>fmt table filling for frame buffer()</t>
    <phoneticPr fontId="1" type="noConversion"/>
  </si>
  <si>
    <t>todo</t>
    <phoneticPr fontId="1" type="noConversion"/>
  </si>
  <si>
    <t>done</t>
    <phoneticPr fontId="1" type="noConversion"/>
  </si>
  <si>
    <t xml:space="preserve">v620  critical path for filt and mp_ctrl </t>
    <phoneticPr fontId="1" type="noConversion"/>
  </si>
  <si>
    <t>PID for v620</t>
    <phoneticPr fontId="1" type="noConversion"/>
  </si>
  <si>
    <t>sync with Qingyan about PSI</t>
    <phoneticPr fontId="1" type="noConversion"/>
  </si>
  <si>
    <t>guide review for SW(V1)</t>
    <phoneticPr fontId="1" type="noConversion"/>
  </si>
  <si>
    <t>weeklystatus</t>
    <phoneticPr fontId="1" type="noConversion"/>
  </si>
  <si>
    <t>FE link check</t>
    <phoneticPr fontId="1" type="noConversion"/>
  </si>
  <si>
    <t>MCM_HW FE case check</t>
    <phoneticPr fontId="1" type="noConversion"/>
  </si>
  <si>
    <t>check why need 11 cycles</t>
    <phoneticPr fontId="1" type="noConversion"/>
  </si>
  <si>
    <t>pluto ecc1bit debug</t>
    <phoneticPr fontId="1" type="noConversion"/>
  </si>
  <si>
    <t>post</t>
    <phoneticPr fontId="1" type="noConversion"/>
  </si>
  <si>
    <t>mp_ctrl_ctrl debug</t>
    <phoneticPr fontId="1" type="noConversion"/>
  </si>
  <si>
    <t>before Dec 25</t>
    <phoneticPr fontId="1" type="noConversion"/>
  </si>
  <si>
    <t>nearly-done</t>
    <phoneticPr fontId="1" type="noConversion"/>
  </si>
  <si>
    <t>PSI with NPU, mail sync with Bruce</t>
    <phoneticPr fontId="1" type="noConversion"/>
  </si>
  <si>
    <t xml:space="preserve">FE register whether readable </t>
    <phoneticPr fontId="1" type="noConversion"/>
  </si>
  <si>
    <t>not, but may update</t>
    <phoneticPr fontId="1" type="noConversion"/>
  </si>
  <si>
    <t>batch mode training</t>
    <phoneticPr fontId="1" type="noConversion"/>
  </si>
  <si>
    <t>ISP9000 Lego integration</t>
    <phoneticPr fontId="1" type="noConversion"/>
  </si>
  <si>
    <t>mi unused register changing to reserved?</t>
    <phoneticPr fontId="1" type="noConversion"/>
  </si>
  <si>
    <t>FE LINK debug signal</t>
    <phoneticPr fontId="1" type="noConversion"/>
  </si>
  <si>
    <t>nanoV70 debug for DPF</t>
    <phoneticPr fontId="1" type="noConversion"/>
  </si>
  <si>
    <t>Retiming write backpressure</t>
    <phoneticPr fontId="1" type="noConversion"/>
  </si>
  <si>
    <t>nn -&gt; nn_inv async clock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</si>
</sst>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4" formatCode="_ &quot;¥&quot;* #,##0.00_ ;_ &quot;¥&quot;* \-#,##0.00_ ;_ &quot;¥&quot;* &quot;-&quot;??_ ;_ @_ "/>
  </numFmts>
  <fonts count="17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0.5"/>
      <color theme="1"/>
      <name val="Calibri"/>
      <family val="2"/>
    </font>
    <font>
      <sz val="10.5"/>
      <color rgb="FFFF0000"/>
      <name val="Calibri"/>
      <family val="2"/>
    </font>
    <font>
      <sz val="10.5"/>
      <color theme="1"/>
      <name val="宋体"/>
      <family val="3"/>
      <charset val="134"/>
    </font>
    <font>
      <sz val="7"/>
      <color theme="1"/>
      <name val="Times New Roman"/>
      <family val="1"/>
    </font>
    <font>
      <b/>
      <sz val="10"/>
      <color rgb="FF000000"/>
      <name val="Calibri"/>
      <family val="2"/>
    </font>
    <font>
      <sz val="10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rgb="FFFF000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theme="9" tint="0.39997558519241921"/>
      <name val="等线"/>
      <family val="3"/>
      <charset val="134"/>
      <scheme val="minor"/>
    </font>
    <font>
      <sz val="1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Wingdings 2"/>
      <family val="1"/>
      <charset val="2"/>
    </font>
    <font>
      <sz val="11"/>
      <color theme="1"/>
      <name val="等线"/>
      <family val="2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59999389629810485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44" fontId="14" fillId="0" borderId="0" applyFont="0" applyFill="0" applyBorder="0" applyAlignment="0" applyProtection="0">
      <alignment vertical="center"/>
    </xf>
  </cellStyleXfs>
  <cellXfs count="50">
    <xf numFmtId="0" fontId="0" fillId="0" borderId="0" xfId="0"/>
    <xf numFmtId="0" fontId="2" fillId="0" borderId="3" xfId="0" applyFont="1" applyBorder="1" applyAlignment="1">
      <alignment horizontal="justify" vertical="center" wrapText="1"/>
    </xf>
    <xf numFmtId="0" fontId="2" fillId="0" borderId="4" xfId="0" applyFont="1" applyBorder="1" applyAlignment="1">
      <alignment horizontal="justify" vertical="center" wrapText="1"/>
    </xf>
    <xf numFmtId="0" fontId="0" fillId="0" borderId="1" xfId="0" applyBorder="1"/>
    <xf numFmtId="0" fontId="0" fillId="0" borderId="0" xfId="0" applyBorder="1"/>
    <xf numFmtId="0" fontId="2" fillId="0" borderId="0" xfId="0" applyFont="1" applyAlignment="1">
      <alignment horizontal="justify" vertical="center"/>
    </xf>
    <xf numFmtId="0" fontId="7" fillId="0" borderId="0" xfId="0" applyFont="1" applyAlignment="1">
      <alignment horizontal="justify" vertical="center"/>
    </xf>
    <xf numFmtId="0" fontId="8" fillId="0" borderId="0" xfId="0" applyFont="1" applyAlignment="1">
      <alignment horizontal="justify" vertical="center"/>
    </xf>
    <xf numFmtId="20" fontId="2" fillId="0" borderId="0" xfId="0" applyNumberFormat="1" applyFont="1" applyAlignment="1">
      <alignment horizontal="justify" vertical="center"/>
    </xf>
    <xf numFmtId="0" fontId="9" fillId="0" borderId="0" xfId="0" applyFont="1" applyAlignment="1">
      <alignment horizontal="justify" vertical="center"/>
    </xf>
    <xf numFmtId="0" fontId="0" fillId="0" borderId="0" xfId="0" applyAlignment="1">
      <alignment wrapText="1"/>
    </xf>
    <xf numFmtId="14" fontId="0" fillId="0" borderId="0" xfId="0" applyNumberFormat="1"/>
    <xf numFmtId="0" fontId="0" fillId="0" borderId="0" xfId="0" applyFill="1"/>
    <xf numFmtId="0" fontId="0" fillId="0" borderId="0" xfId="0" applyAlignment="1">
      <alignment horizontal="left"/>
    </xf>
    <xf numFmtId="0" fontId="0" fillId="3" borderId="0" xfId="0" applyFill="1"/>
    <xf numFmtId="0" fontId="11" fillId="0" borderId="0" xfId="0" applyFont="1"/>
    <xf numFmtId="0" fontId="13" fillId="0" borderId="0" xfId="0" applyFont="1"/>
    <xf numFmtId="20" fontId="0" fillId="0" borderId="0" xfId="0" applyNumberFormat="1"/>
    <xf numFmtId="0" fontId="0" fillId="4" borderId="0" xfId="0" applyFill="1"/>
    <xf numFmtId="0" fontId="0" fillId="0" borderId="6" xfId="0" applyBorder="1"/>
    <xf numFmtId="0" fontId="0" fillId="0" borderId="6" xfId="0" applyFill="1" applyBorder="1"/>
    <xf numFmtId="0" fontId="0" fillId="0" borderId="8" xfId="0" applyBorder="1"/>
    <xf numFmtId="0" fontId="2" fillId="2" borderId="9" xfId="0" applyFont="1" applyFill="1" applyBorder="1" applyAlignment="1">
      <alignment horizontal="justify" vertical="center" wrapText="1"/>
    </xf>
    <xf numFmtId="0" fontId="2" fillId="2" borderId="10" xfId="0" applyFont="1" applyFill="1" applyBorder="1" applyAlignment="1">
      <alignment horizontal="justify" vertical="center" wrapText="1"/>
    </xf>
    <xf numFmtId="0" fontId="3" fillId="0" borderId="10" xfId="0" applyFont="1" applyBorder="1" applyAlignment="1">
      <alignment horizontal="justify" vertical="center" wrapText="1"/>
    </xf>
    <xf numFmtId="0" fontId="0" fillId="0" borderId="7" xfId="0" applyBorder="1"/>
    <xf numFmtId="0" fontId="2" fillId="0" borderId="3" xfId="0" applyFont="1" applyFill="1" applyBorder="1" applyAlignment="1">
      <alignment horizontal="justify" vertical="center" wrapText="1"/>
    </xf>
    <xf numFmtId="0" fontId="3" fillId="0" borderId="11" xfId="0" applyFont="1" applyFill="1" applyBorder="1" applyAlignment="1">
      <alignment horizontal="justify" vertical="center" wrapText="1"/>
    </xf>
    <xf numFmtId="0" fontId="0" fillId="0" borderId="11" xfId="0" applyBorder="1"/>
    <xf numFmtId="0" fontId="0" fillId="0" borderId="12" xfId="0" applyBorder="1"/>
    <xf numFmtId="0" fontId="0" fillId="0" borderId="3" xfId="0" applyBorder="1"/>
    <xf numFmtId="0" fontId="2" fillId="0" borderId="13" xfId="0" applyFont="1" applyBorder="1" applyAlignment="1">
      <alignment horizontal="justify" vertical="center" wrapText="1"/>
    </xf>
    <xf numFmtId="0" fontId="3" fillId="0" borderId="14" xfId="0" applyFont="1" applyFill="1" applyBorder="1" applyAlignment="1">
      <alignment horizontal="justify" vertical="center" wrapText="1"/>
    </xf>
    <xf numFmtId="0" fontId="3" fillId="0" borderId="8" xfId="0" applyFont="1" applyBorder="1" applyAlignment="1">
      <alignment horizontal="justify" vertical="center" wrapText="1"/>
    </xf>
    <xf numFmtId="0" fontId="3" fillId="0" borderId="0" xfId="0" applyFont="1" applyBorder="1" applyAlignment="1">
      <alignment horizontal="justify" vertical="center" wrapText="1"/>
    </xf>
    <xf numFmtId="0" fontId="0" fillId="0" borderId="11" xfId="0" applyBorder="1" applyAlignment="1">
      <alignment wrapText="1"/>
    </xf>
    <xf numFmtId="0" fontId="0" fillId="0" borderId="0" xfId="1" applyNumberFormat="1" applyFont="1" applyFill="1" applyAlignment="1"/>
    <xf numFmtId="0" fontId="0" fillId="0" borderId="0" xfId="0" applyNumberFormat="1" applyFill="1"/>
    <xf numFmtId="0" fontId="0" fillId="0" borderId="0" xfId="0" applyNumberFormat="1"/>
    <xf numFmtId="0" fontId="0" fillId="0" borderId="0" xfId="0" applyNumberFormat="1" applyFill="1" applyAlignment="1">
      <alignment wrapText="1"/>
    </xf>
    <xf numFmtId="0" fontId="0" fillId="0" borderId="0" xfId="0" applyFill="1" applyAlignment="1">
      <alignment wrapText="1"/>
    </xf>
    <xf numFmtId="0" fontId="0" fillId="0" borderId="0" xfId="0" applyFill="1" applyBorder="1"/>
    <xf numFmtId="0" fontId="0" fillId="0" borderId="8" xfId="0" applyFill="1" applyBorder="1"/>
    <xf numFmtId="0" fontId="16" fillId="0" borderId="0" xfId="0" applyFont="1" applyFill="1"/>
    <xf numFmtId="0" fontId="15" fillId="0" borderId="0" xfId="0" applyFont="1" applyFill="1"/>
    <xf numFmtId="0" fontId="0" fillId="0" borderId="15" xfId="0" applyBorder="1"/>
    <xf numFmtId="0" fontId="0" fillId="0" borderId="16" xfId="0" applyBorder="1"/>
    <xf numFmtId="0" fontId="2" fillId="0" borderId="5" xfId="0" applyFont="1" applyFill="1" applyBorder="1" applyAlignment="1">
      <alignment horizontal="left" vertical="center" wrapText="1"/>
    </xf>
    <xf numFmtId="0" fontId="2" fillId="0" borderId="2" xfId="0" applyFont="1" applyFill="1" applyBorder="1" applyAlignment="1">
      <alignment horizontal="left" vertical="center" wrapText="1"/>
    </xf>
    <xf numFmtId="0" fontId="2" fillId="0" borderId="4" xfId="0" applyFont="1" applyFill="1" applyBorder="1" applyAlignment="1">
      <alignment horizontal="left" vertical="center" wrapText="1"/>
    </xf>
  </cellXfs>
  <cellStyles count="2">
    <cellStyle name="常规" xfId="0" builtinId="0"/>
    <cellStyle name="货币" xfId="1" builtinId="4"/>
  </cellStyles>
  <dxfs count="10"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2" tint="-0.24994659260841701"/>
        </patternFill>
      </fill>
    </dxf>
    <dxf>
      <fill>
        <patternFill>
          <bgColor rgb="FFFF0066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2" tint="-0.24994659260841701"/>
        </patternFill>
      </fill>
    </dxf>
    <dxf>
      <fill>
        <patternFill>
          <bgColor rgb="FFFF0066"/>
        </patternFill>
      </fill>
    </dxf>
    <dxf>
      <fill>
        <patternFill>
          <bgColor theme="9" tint="0.59996337778862885"/>
        </patternFill>
      </fill>
    </dxf>
    <dxf>
      <fill>
        <patternFill>
          <bgColor theme="6"/>
        </patternFill>
      </fill>
    </dxf>
  </dxfs>
  <tableStyles count="0" defaultTableStyle="TableStyleMedium2" defaultPivotStyle="PivotStyleLight16"/>
  <colors>
    <mruColors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552450</xdr:colOff>
      <xdr:row>11</xdr:row>
      <xdr:rowOff>47625</xdr:rowOff>
    </xdr:from>
    <xdr:to>
      <xdr:col>8</xdr:col>
      <xdr:colOff>142875</xdr:colOff>
      <xdr:row>18</xdr:row>
      <xdr:rowOff>114300</xdr:rowOff>
    </xdr:to>
    <xdr:sp macro="" textlink="">
      <xdr:nvSpPr>
        <xdr:cNvPr id="3" name="矩形 2"/>
        <xdr:cNvSpPr/>
      </xdr:nvSpPr>
      <xdr:spPr>
        <a:xfrm>
          <a:off x="4391025" y="2038350"/>
          <a:ext cx="2514600" cy="13335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5</xdr:col>
      <xdr:colOff>676275</xdr:colOff>
      <xdr:row>23</xdr:row>
      <xdr:rowOff>123825</xdr:rowOff>
    </xdr:from>
    <xdr:to>
      <xdr:col>9</xdr:col>
      <xdr:colOff>447675</xdr:colOff>
      <xdr:row>31</xdr:row>
      <xdr:rowOff>9525</xdr:rowOff>
    </xdr:to>
    <xdr:sp macro="" textlink="">
      <xdr:nvSpPr>
        <xdr:cNvPr id="4" name="矩形 3"/>
        <xdr:cNvSpPr/>
      </xdr:nvSpPr>
      <xdr:spPr>
        <a:xfrm>
          <a:off x="5381625" y="4286250"/>
          <a:ext cx="2514600" cy="13335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10</xdr:col>
      <xdr:colOff>161925</xdr:colOff>
      <xdr:row>11</xdr:row>
      <xdr:rowOff>38100</xdr:rowOff>
    </xdr:from>
    <xdr:to>
      <xdr:col>13</xdr:col>
      <xdr:colOff>619125</xdr:colOff>
      <xdr:row>18</xdr:row>
      <xdr:rowOff>104775</xdr:rowOff>
    </xdr:to>
    <xdr:sp macro="" textlink="">
      <xdr:nvSpPr>
        <xdr:cNvPr id="5" name="矩形 4"/>
        <xdr:cNvSpPr/>
      </xdr:nvSpPr>
      <xdr:spPr>
        <a:xfrm>
          <a:off x="8296275" y="2028825"/>
          <a:ext cx="2514600" cy="13335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A134"/>
  <sheetViews>
    <sheetView tabSelected="1" topLeftCell="A84" zoomScale="115" zoomScaleNormal="115" workbookViewId="0">
      <selection activeCell="A113" sqref="A113"/>
    </sheetView>
  </sheetViews>
  <sheetFormatPr defaultRowHeight="14.25" x14ac:dyDescent="0.2"/>
  <cols>
    <col min="1" max="1" width="38" customWidth="1"/>
    <col min="2" max="2" width="20.625" customWidth="1"/>
    <col min="4" max="5" width="10" bestFit="1" customWidth="1"/>
    <col min="6" max="6" width="10.625" customWidth="1"/>
    <col min="7" max="7" width="10" bestFit="1" customWidth="1"/>
    <col min="9" max="9" width="27.375" customWidth="1"/>
  </cols>
  <sheetData>
    <row r="1" spans="1:18" ht="15" thickBot="1" x14ac:dyDescent="0.25">
      <c r="C1" s="21"/>
      <c r="D1" s="11">
        <v>45027</v>
      </c>
      <c r="E1" s="11">
        <f t="shared" ref="E1:L1" si="0">D1+1</f>
        <v>45028</v>
      </c>
      <c r="F1" s="11">
        <f t="shared" si="0"/>
        <v>45029</v>
      </c>
      <c r="G1" s="11">
        <f t="shared" si="0"/>
        <v>45030</v>
      </c>
      <c r="H1" s="11">
        <f t="shared" si="0"/>
        <v>45031</v>
      </c>
      <c r="I1" s="11">
        <f t="shared" si="0"/>
        <v>45032</v>
      </c>
      <c r="J1" s="11">
        <f t="shared" si="0"/>
        <v>45033</v>
      </c>
      <c r="K1" s="11">
        <f t="shared" si="0"/>
        <v>45034</v>
      </c>
      <c r="L1" s="11">
        <f t="shared" si="0"/>
        <v>45035</v>
      </c>
      <c r="R1" s="21"/>
    </row>
    <row r="2" spans="1:18" ht="15" thickBot="1" x14ac:dyDescent="0.25">
      <c r="A2" s="1" t="s">
        <v>0</v>
      </c>
      <c r="B2" s="3"/>
      <c r="C2" s="22" t="s">
        <v>1</v>
      </c>
      <c r="E2" s="12"/>
      <c r="F2" s="12"/>
      <c r="G2" s="12"/>
      <c r="H2" s="12"/>
      <c r="I2" s="12"/>
      <c r="J2" s="12"/>
      <c r="K2" s="12"/>
      <c r="L2" s="12"/>
      <c r="R2" s="21"/>
    </row>
    <row r="3" spans="1:18" ht="15" thickBot="1" x14ac:dyDescent="0.25">
      <c r="A3" s="2" t="s">
        <v>2</v>
      </c>
      <c r="B3" s="3"/>
      <c r="C3" s="23" t="s">
        <v>1</v>
      </c>
      <c r="E3" s="12"/>
      <c r="F3" s="12"/>
      <c r="G3" s="12"/>
      <c r="H3" s="12"/>
      <c r="I3" s="12"/>
      <c r="J3" s="12"/>
      <c r="K3" s="12"/>
      <c r="L3" s="12"/>
      <c r="R3" s="21"/>
    </row>
    <row r="4" spans="1:18" ht="15" thickBot="1" x14ac:dyDescent="0.25">
      <c r="A4" s="2" t="s">
        <v>3</v>
      </c>
      <c r="B4" s="3"/>
      <c r="C4" s="23" t="s">
        <v>1</v>
      </c>
      <c r="E4" s="12"/>
      <c r="F4" s="12"/>
      <c r="G4" s="12"/>
      <c r="H4" s="12"/>
      <c r="I4" s="12"/>
      <c r="J4" s="12"/>
      <c r="K4" s="12"/>
      <c r="L4" s="12"/>
      <c r="R4" s="21"/>
    </row>
    <row r="5" spans="1:18" ht="15" thickBot="1" x14ac:dyDescent="0.25">
      <c r="A5" s="2" t="s">
        <v>67</v>
      </c>
      <c r="B5" s="3"/>
      <c r="C5" s="23" t="s">
        <v>1</v>
      </c>
      <c r="E5" s="12"/>
      <c r="F5" s="12"/>
      <c r="G5" s="12"/>
      <c r="H5" s="12"/>
      <c r="I5" s="12"/>
      <c r="J5" s="12"/>
      <c r="K5" s="12"/>
      <c r="L5" s="12"/>
      <c r="R5" s="21"/>
    </row>
    <row r="6" spans="1:18" ht="29.25" thickBot="1" x14ac:dyDescent="0.25">
      <c r="A6" s="2" t="s">
        <v>4</v>
      </c>
      <c r="B6" s="3"/>
      <c r="C6" s="24" t="s">
        <v>5</v>
      </c>
      <c r="E6" s="12"/>
      <c r="F6" s="12"/>
      <c r="G6" s="12"/>
      <c r="H6" s="12"/>
      <c r="I6" s="12"/>
      <c r="J6" s="12"/>
      <c r="K6" s="12"/>
      <c r="L6" s="12"/>
      <c r="R6" s="21"/>
    </row>
    <row r="7" spans="1:18" ht="15" thickBot="1" x14ac:dyDescent="0.25">
      <c r="A7" s="2" t="s">
        <v>6</v>
      </c>
      <c r="B7" s="3"/>
      <c r="C7" s="33" t="s">
        <v>7</v>
      </c>
      <c r="E7" s="12"/>
      <c r="F7" s="12"/>
      <c r="G7" s="12"/>
      <c r="H7" s="12"/>
      <c r="I7" s="12"/>
      <c r="J7" s="12"/>
      <c r="K7" s="12"/>
      <c r="L7" s="12"/>
      <c r="R7" s="21"/>
    </row>
    <row r="8" spans="1:18" ht="30.75" customHeight="1" thickBot="1" x14ac:dyDescent="0.25">
      <c r="A8" s="2" t="s">
        <v>8</v>
      </c>
      <c r="B8" s="30"/>
      <c r="C8" s="34" t="s">
        <v>32</v>
      </c>
      <c r="E8" s="12"/>
      <c r="F8" s="12"/>
      <c r="G8" s="12"/>
      <c r="H8" s="12"/>
      <c r="I8" s="12"/>
      <c r="J8" s="12"/>
      <c r="K8" s="12"/>
      <c r="L8" s="12"/>
      <c r="R8" s="21"/>
    </row>
    <row r="9" spans="1:18" ht="15" thickBot="1" x14ac:dyDescent="0.25">
      <c r="A9" s="47" t="s">
        <v>9</v>
      </c>
      <c r="B9" s="1" t="s">
        <v>13</v>
      </c>
      <c r="C9" s="4"/>
      <c r="E9" s="12" t="s">
        <v>36</v>
      </c>
      <c r="F9" s="12" t="s">
        <v>88</v>
      </c>
      <c r="G9" s="12"/>
      <c r="H9" s="12"/>
      <c r="I9" s="12"/>
      <c r="J9" s="12"/>
      <c r="K9" s="12"/>
      <c r="L9" s="12"/>
      <c r="R9" s="21"/>
    </row>
    <row r="10" spans="1:18" ht="15" thickBot="1" x14ac:dyDescent="0.25">
      <c r="A10" s="48"/>
      <c r="B10" s="1" t="s">
        <v>12</v>
      </c>
      <c r="C10" s="4"/>
      <c r="E10" s="12" t="s">
        <v>38</v>
      </c>
      <c r="F10" s="12" t="s">
        <v>88</v>
      </c>
      <c r="G10" s="12"/>
      <c r="H10" s="12"/>
      <c r="I10" s="12"/>
      <c r="J10" s="12"/>
      <c r="K10" s="12"/>
      <c r="L10" s="12"/>
      <c r="R10" s="21"/>
    </row>
    <row r="11" spans="1:18" ht="15" thickBot="1" x14ac:dyDescent="0.25">
      <c r="A11" s="49"/>
      <c r="B11" s="31" t="s">
        <v>11</v>
      </c>
      <c r="C11" s="4"/>
      <c r="E11" s="12"/>
      <c r="F11" s="12" t="s">
        <v>88</v>
      </c>
      <c r="G11" s="12"/>
      <c r="H11" s="12"/>
      <c r="I11" s="12"/>
      <c r="J11" s="12"/>
      <c r="K11" s="12"/>
      <c r="L11" s="12"/>
      <c r="R11" s="21"/>
    </row>
    <row r="12" spans="1:18" ht="15" thickBot="1" x14ac:dyDescent="0.25">
      <c r="A12" s="26" t="s">
        <v>10</v>
      </c>
      <c r="B12" s="32"/>
      <c r="C12" s="4"/>
      <c r="D12" s="12" t="s">
        <v>36</v>
      </c>
      <c r="E12" s="12" t="s">
        <v>36</v>
      </c>
      <c r="F12" s="12" t="s">
        <v>87</v>
      </c>
      <c r="G12" s="12" t="s">
        <v>87</v>
      </c>
      <c r="H12" s="12"/>
      <c r="I12" s="12"/>
      <c r="J12" s="12"/>
      <c r="K12" s="12"/>
      <c r="L12" s="12"/>
      <c r="R12" s="21"/>
    </row>
    <row r="13" spans="1:18" x14ac:dyDescent="0.2">
      <c r="A13" t="s">
        <v>30</v>
      </c>
      <c r="B13" s="27"/>
      <c r="C13" s="4"/>
      <c r="D13" s="12" t="s">
        <v>34</v>
      </c>
      <c r="E13" s="12"/>
      <c r="F13" s="12"/>
      <c r="G13" s="12"/>
      <c r="H13" s="12"/>
      <c r="I13" s="12"/>
      <c r="J13" s="12"/>
      <c r="K13" s="12"/>
      <c r="L13" s="12"/>
      <c r="R13" s="21"/>
    </row>
    <row r="14" spans="1:18" x14ac:dyDescent="0.2">
      <c r="A14" t="s">
        <v>31</v>
      </c>
      <c r="B14" s="28"/>
      <c r="C14" s="4"/>
      <c r="D14" s="12" t="s">
        <v>35</v>
      </c>
      <c r="E14" s="12" t="s">
        <v>34</v>
      </c>
      <c r="F14" s="12"/>
      <c r="G14" s="12"/>
      <c r="H14" s="12"/>
      <c r="I14" s="12"/>
      <c r="J14" s="12"/>
      <c r="K14" s="12"/>
      <c r="L14" s="12"/>
      <c r="R14" s="21"/>
    </row>
    <row r="15" spans="1:18" x14ac:dyDescent="0.2">
      <c r="A15" t="s">
        <v>33</v>
      </c>
      <c r="B15" s="28"/>
      <c r="C15" s="4"/>
      <c r="D15" s="12" t="s">
        <v>34</v>
      </c>
      <c r="E15" s="12"/>
      <c r="F15" s="12"/>
      <c r="G15" s="12"/>
      <c r="H15" s="12"/>
      <c r="I15" s="12"/>
      <c r="J15" s="12"/>
      <c r="K15" s="12"/>
      <c r="L15" s="12"/>
      <c r="R15" s="21"/>
    </row>
    <row r="16" spans="1:18" x14ac:dyDescent="0.2">
      <c r="A16" t="s">
        <v>37</v>
      </c>
      <c r="B16" s="28"/>
      <c r="C16" s="4"/>
      <c r="E16" s="12" t="s">
        <v>34</v>
      </c>
      <c r="F16" s="12"/>
      <c r="G16" s="12"/>
      <c r="H16" s="12"/>
      <c r="I16" s="12"/>
      <c r="J16" s="12"/>
      <c r="K16" s="12"/>
      <c r="L16" s="12"/>
      <c r="R16" s="21"/>
    </row>
    <row r="17" spans="1:18" x14ac:dyDescent="0.2">
      <c r="A17" t="s">
        <v>63</v>
      </c>
      <c r="B17" s="28"/>
      <c r="C17" s="4"/>
      <c r="R17" s="21"/>
    </row>
    <row r="18" spans="1:18" x14ac:dyDescent="0.2">
      <c r="A18" t="s">
        <v>64</v>
      </c>
      <c r="B18" s="28"/>
      <c r="C18" s="4"/>
      <c r="R18" s="21"/>
    </row>
    <row r="19" spans="1:18" x14ac:dyDescent="0.2">
      <c r="A19" t="s">
        <v>70</v>
      </c>
      <c r="B19" s="28"/>
      <c r="C19" s="4"/>
      <c r="R19" s="21"/>
    </row>
    <row r="20" spans="1:18" x14ac:dyDescent="0.2">
      <c r="B20" s="28"/>
      <c r="C20" s="4"/>
      <c r="R20" s="21"/>
    </row>
    <row r="21" spans="1:18" x14ac:dyDescent="0.2">
      <c r="A21" t="s">
        <v>65</v>
      </c>
      <c r="B21" s="28"/>
      <c r="C21" s="4"/>
      <c r="D21" s="12" t="s">
        <v>32</v>
      </c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42"/>
    </row>
    <row r="22" spans="1:18" x14ac:dyDescent="0.2">
      <c r="A22" t="s">
        <v>66</v>
      </c>
      <c r="B22" s="28"/>
      <c r="C22" s="4"/>
      <c r="D22" s="12" t="s">
        <v>32</v>
      </c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42"/>
    </row>
    <row r="23" spans="1:18" x14ac:dyDescent="0.2">
      <c r="A23" t="s">
        <v>68</v>
      </c>
      <c r="B23" s="28"/>
      <c r="C23" s="4"/>
      <c r="D23" s="12" t="s">
        <v>74</v>
      </c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42"/>
    </row>
    <row r="24" spans="1:18" x14ac:dyDescent="0.2">
      <c r="A24" t="s">
        <v>69</v>
      </c>
      <c r="B24" s="28"/>
      <c r="C24" s="4"/>
      <c r="D24" s="12" t="s">
        <v>32</v>
      </c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42"/>
    </row>
    <row r="25" spans="1:18" x14ac:dyDescent="0.2">
      <c r="A25" t="s">
        <v>82</v>
      </c>
      <c r="B25" s="28"/>
      <c r="C25" s="4"/>
      <c r="D25" s="12" t="s">
        <v>32</v>
      </c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42"/>
    </row>
    <row r="26" spans="1:18" x14ac:dyDescent="0.2">
      <c r="A26" t="s">
        <v>71</v>
      </c>
      <c r="B26" s="28"/>
      <c r="C26" s="4"/>
      <c r="D26" s="12" t="s">
        <v>32</v>
      </c>
      <c r="E26" s="12" t="s">
        <v>76</v>
      </c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42"/>
    </row>
    <row r="27" spans="1:18" x14ac:dyDescent="0.2">
      <c r="A27" t="s">
        <v>73</v>
      </c>
      <c r="B27" s="28"/>
      <c r="C27" s="4"/>
      <c r="D27" s="12" t="s">
        <v>74</v>
      </c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42"/>
    </row>
    <row r="28" spans="1:18" x14ac:dyDescent="0.2">
      <c r="A28" t="s">
        <v>72</v>
      </c>
      <c r="B28" s="28"/>
      <c r="C28" s="4"/>
      <c r="D28" s="12" t="s">
        <v>38</v>
      </c>
      <c r="E28" s="12" t="s">
        <v>74</v>
      </c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42"/>
    </row>
    <row r="29" spans="1:18" x14ac:dyDescent="0.2">
      <c r="A29" t="s">
        <v>75</v>
      </c>
      <c r="B29" s="28"/>
      <c r="C29" s="4"/>
      <c r="D29" s="12" t="s">
        <v>38</v>
      </c>
      <c r="E29" s="12" t="s">
        <v>88</v>
      </c>
      <c r="F29" s="12"/>
      <c r="G29" s="12"/>
      <c r="H29" s="12"/>
      <c r="I29" s="12"/>
      <c r="J29" s="12"/>
      <c r="K29" s="12"/>
      <c r="L29" s="12"/>
      <c r="M29" s="12"/>
      <c r="N29" s="12"/>
      <c r="R29" s="21"/>
    </row>
    <row r="30" spans="1:18" x14ac:dyDescent="0.2">
      <c r="A30" t="s">
        <v>79</v>
      </c>
      <c r="B30" s="28"/>
      <c r="C30" s="4"/>
      <c r="D30" s="12" t="s">
        <v>38</v>
      </c>
      <c r="E30" s="12" t="s">
        <v>74</v>
      </c>
      <c r="F30" s="12"/>
      <c r="G30" s="12"/>
      <c r="H30" s="12"/>
      <c r="I30" s="12"/>
      <c r="J30" s="12"/>
      <c r="K30" s="12"/>
      <c r="L30" s="12"/>
      <c r="M30" s="12"/>
      <c r="N30" s="12"/>
      <c r="R30" s="21"/>
    </row>
    <row r="31" spans="1:18" x14ac:dyDescent="0.2">
      <c r="A31" t="s">
        <v>78</v>
      </c>
      <c r="B31" s="28"/>
      <c r="C31" s="4"/>
      <c r="D31" s="12" t="s">
        <v>38</v>
      </c>
      <c r="E31" s="12" t="s">
        <v>88</v>
      </c>
      <c r="F31" s="12"/>
      <c r="G31" s="12"/>
      <c r="H31" s="12"/>
      <c r="I31" s="12"/>
      <c r="J31" s="12"/>
      <c r="K31" s="12"/>
      <c r="L31" s="12"/>
      <c r="M31" s="12"/>
      <c r="N31" s="12"/>
      <c r="R31" s="21"/>
    </row>
    <row r="32" spans="1:18" x14ac:dyDescent="0.2">
      <c r="A32" t="s">
        <v>77</v>
      </c>
      <c r="B32" s="28"/>
      <c r="C32" s="4"/>
      <c r="D32" s="12" t="s">
        <v>32</v>
      </c>
      <c r="E32" s="12" t="s">
        <v>32</v>
      </c>
      <c r="F32" s="12"/>
      <c r="G32" s="12"/>
      <c r="H32" s="12"/>
      <c r="I32" s="12"/>
      <c r="J32" s="12"/>
      <c r="K32" s="12"/>
      <c r="L32" s="12"/>
      <c r="M32" s="12"/>
      <c r="N32" s="12"/>
      <c r="R32" s="21"/>
    </row>
    <row r="33" spans="1:18" x14ac:dyDescent="0.2">
      <c r="A33" t="s">
        <v>80</v>
      </c>
      <c r="B33" s="28"/>
      <c r="C33" s="4"/>
      <c r="D33" s="12" t="s">
        <v>32</v>
      </c>
      <c r="E33" s="12"/>
      <c r="F33" s="12"/>
      <c r="G33" s="12"/>
      <c r="H33" s="12"/>
      <c r="I33" s="12"/>
      <c r="J33" s="12"/>
      <c r="K33" s="12"/>
      <c r="L33" s="12"/>
      <c r="M33" s="12"/>
      <c r="N33" s="12"/>
      <c r="R33" s="21"/>
    </row>
    <row r="34" spans="1:18" x14ac:dyDescent="0.2">
      <c r="A34" t="s">
        <v>81</v>
      </c>
      <c r="B34" s="28"/>
      <c r="C34" s="4"/>
      <c r="D34" s="12" t="s">
        <v>38</v>
      </c>
      <c r="E34" s="12" t="s">
        <v>32</v>
      </c>
      <c r="F34" s="12"/>
      <c r="G34" s="12"/>
      <c r="H34" s="12"/>
      <c r="I34" s="12"/>
      <c r="J34" s="12"/>
      <c r="K34" s="12"/>
      <c r="L34" s="12"/>
      <c r="M34" s="12"/>
      <c r="N34" s="12"/>
      <c r="R34" s="21"/>
    </row>
    <row r="35" spans="1:18" x14ac:dyDescent="0.2">
      <c r="A35" t="s">
        <v>83</v>
      </c>
      <c r="B35" s="28"/>
      <c r="C35" s="4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R35" s="21"/>
    </row>
    <row r="36" spans="1:18" x14ac:dyDescent="0.2">
      <c r="A36" t="s">
        <v>84</v>
      </c>
      <c r="B36" s="28"/>
      <c r="C36" s="4"/>
      <c r="D36" s="12" t="s">
        <v>88</v>
      </c>
      <c r="E36" s="12"/>
      <c r="F36" s="12"/>
      <c r="G36" s="12"/>
      <c r="H36" s="12"/>
      <c r="I36" s="12"/>
      <c r="J36" s="12"/>
      <c r="K36" s="12"/>
      <c r="L36" s="12"/>
      <c r="M36" s="12"/>
      <c r="N36" s="12"/>
      <c r="R36" s="21"/>
    </row>
    <row r="37" spans="1:18" x14ac:dyDescent="0.2">
      <c r="A37" t="s">
        <v>85</v>
      </c>
      <c r="B37" s="28"/>
      <c r="C37" s="4"/>
      <c r="D37" s="12" t="s">
        <v>88</v>
      </c>
      <c r="E37" s="12"/>
      <c r="F37" s="12"/>
      <c r="G37" s="12"/>
      <c r="H37" s="12"/>
      <c r="I37" s="12"/>
      <c r="J37" s="12"/>
      <c r="K37" s="12"/>
      <c r="L37" s="12"/>
      <c r="M37" s="12"/>
      <c r="N37" s="12"/>
      <c r="R37" s="21"/>
    </row>
    <row r="38" spans="1:18" x14ac:dyDescent="0.2">
      <c r="A38" t="s">
        <v>86</v>
      </c>
      <c r="B38" s="28"/>
      <c r="C38" s="4"/>
      <c r="D38" s="12" t="s">
        <v>87</v>
      </c>
      <c r="E38" s="12" t="s">
        <v>89</v>
      </c>
      <c r="F38" s="18" t="s">
        <v>32</v>
      </c>
      <c r="G38" s="12"/>
      <c r="H38" s="12"/>
      <c r="I38" s="12"/>
      <c r="J38" s="12"/>
      <c r="K38" s="12"/>
      <c r="L38" s="12"/>
      <c r="M38" s="12"/>
      <c r="N38" s="12"/>
      <c r="R38" s="21"/>
    </row>
    <row r="39" spans="1:18" x14ac:dyDescent="0.2">
      <c r="A39" t="s">
        <v>96</v>
      </c>
      <c r="B39" s="28"/>
      <c r="C39" s="4"/>
      <c r="D39" s="12" t="s">
        <v>89</v>
      </c>
      <c r="E39" s="12" t="s">
        <v>89</v>
      </c>
      <c r="F39" s="12" t="s">
        <v>32</v>
      </c>
      <c r="G39" s="12"/>
      <c r="H39" s="12"/>
      <c r="I39" s="12"/>
      <c r="J39" s="12"/>
      <c r="K39" s="12"/>
      <c r="L39" s="12"/>
      <c r="M39" s="12"/>
      <c r="N39" s="12"/>
      <c r="R39" s="21"/>
    </row>
    <row r="40" spans="1:18" x14ac:dyDescent="0.2">
      <c r="A40" t="s">
        <v>109</v>
      </c>
      <c r="B40" s="28"/>
      <c r="C40" s="4"/>
      <c r="D40" s="12"/>
      <c r="E40" s="12"/>
      <c r="F40" s="12" t="s">
        <v>107</v>
      </c>
      <c r="G40" s="12"/>
      <c r="H40" s="12"/>
      <c r="I40" s="12"/>
      <c r="J40" s="12"/>
      <c r="K40" s="12"/>
      <c r="L40" s="12"/>
      <c r="M40" s="12"/>
      <c r="N40" s="12"/>
      <c r="R40" s="21"/>
    </row>
    <row r="41" spans="1:18" x14ac:dyDescent="0.2">
      <c r="A41" t="s">
        <v>98</v>
      </c>
      <c r="B41" s="28"/>
      <c r="C41" s="4"/>
      <c r="D41" s="12" t="s">
        <v>87</v>
      </c>
      <c r="E41" s="12" t="s">
        <v>89</v>
      </c>
      <c r="F41" s="12" t="s">
        <v>106</v>
      </c>
      <c r="G41" s="12"/>
      <c r="H41" s="37"/>
      <c r="I41" s="37"/>
      <c r="J41" s="12"/>
      <c r="K41" s="12"/>
      <c r="L41" s="12"/>
      <c r="M41" s="12"/>
      <c r="N41" s="12"/>
      <c r="R41" s="21"/>
    </row>
    <row r="42" spans="1:18" x14ac:dyDescent="0.2">
      <c r="A42" t="s">
        <v>96</v>
      </c>
      <c r="B42" s="28"/>
      <c r="C42" s="4"/>
      <c r="D42" s="12" t="s">
        <v>87</v>
      </c>
      <c r="E42" s="12" t="s">
        <v>89</v>
      </c>
      <c r="F42" s="12"/>
      <c r="G42" s="12"/>
      <c r="H42" s="39"/>
      <c r="I42" s="37"/>
      <c r="J42" s="12"/>
      <c r="K42" s="12"/>
      <c r="L42" s="12"/>
      <c r="M42" s="12"/>
      <c r="N42" s="12"/>
      <c r="R42" s="21"/>
    </row>
    <row r="43" spans="1:18" x14ac:dyDescent="0.2">
      <c r="A43" t="s">
        <v>97</v>
      </c>
      <c r="B43" s="28"/>
      <c r="C43" s="4"/>
      <c r="D43" s="12" t="s">
        <v>87</v>
      </c>
      <c r="E43" s="12" t="s">
        <v>89</v>
      </c>
      <c r="F43" s="41" t="s">
        <v>32</v>
      </c>
      <c r="H43" s="38"/>
      <c r="I43" s="37"/>
      <c r="K43" s="12"/>
      <c r="R43" s="21"/>
    </row>
    <row r="44" spans="1:18" x14ac:dyDescent="0.2">
      <c r="A44" t="s">
        <v>99</v>
      </c>
      <c r="B44" s="28"/>
      <c r="C44" s="4"/>
      <c r="D44" s="12" t="s">
        <v>87</v>
      </c>
      <c r="E44" s="12" t="s">
        <v>88</v>
      </c>
      <c r="F44" s="12"/>
      <c r="H44" s="38"/>
      <c r="I44" s="37"/>
      <c r="K44" s="12"/>
      <c r="R44" s="21"/>
    </row>
    <row r="45" spans="1:18" x14ac:dyDescent="0.2">
      <c r="A45" t="s">
        <v>100</v>
      </c>
      <c r="B45" s="28"/>
      <c r="C45" s="4"/>
      <c r="D45" s="12" t="s">
        <v>87</v>
      </c>
      <c r="E45" s="12" t="s">
        <v>88</v>
      </c>
      <c r="F45" s="12"/>
      <c r="H45" s="38"/>
      <c r="I45" s="37"/>
      <c r="K45" s="12"/>
      <c r="R45" s="21"/>
    </row>
    <row r="46" spans="1:18" x14ac:dyDescent="0.2">
      <c r="A46" t="s">
        <v>104</v>
      </c>
      <c r="B46" s="28"/>
      <c r="C46" s="4"/>
      <c r="D46" s="12" t="s">
        <v>74</v>
      </c>
      <c r="F46" s="12"/>
      <c r="H46" s="38"/>
      <c r="I46" s="37"/>
      <c r="R46" s="21"/>
    </row>
    <row r="47" spans="1:18" x14ac:dyDescent="0.2">
      <c r="A47" t="s">
        <v>110</v>
      </c>
      <c r="B47" s="28"/>
      <c r="C47" s="4"/>
      <c r="F47" s="12" t="s">
        <v>108</v>
      </c>
      <c r="H47" s="38"/>
      <c r="I47" s="37"/>
      <c r="R47" s="21"/>
    </row>
    <row r="48" spans="1:18" x14ac:dyDescent="0.2">
      <c r="A48" t="s">
        <v>105</v>
      </c>
      <c r="B48" s="28"/>
      <c r="C48" s="4"/>
      <c r="D48" s="12" t="s">
        <v>89</v>
      </c>
      <c r="E48" s="12" t="s">
        <v>34</v>
      </c>
      <c r="F48" s="12"/>
      <c r="G48" s="12"/>
      <c r="H48" s="37"/>
      <c r="I48" s="36"/>
      <c r="J48" s="12"/>
      <c r="R48" s="21"/>
    </row>
    <row r="49" spans="1:18" x14ac:dyDescent="0.2">
      <c r="A49" t="s">
        <v>111</v>
      </c>
      <c r="B49" s="28"/>
      <c r="C49" s="4"/>
      <c r="D49" s="12" t="s">
        <v>32</v>
      </c>
      <c r="E49" s="12"/>
      <c r="F49" s="12"/>
      <c r="G49" s="12"/>
      <c r="H49" s="37"/>
      <c r="I49" s="37"/>
      <c r="J49" s="12"/>
      <c r="R49" s="21"/>
    </row>
    <row r="50" spans="1:18" x14ac:dyDescent="0.2">
      <c r="A50" t="s">
        <v>112</v>
      </c>
      <c r="B50" s="28"/>
      <c r="C50" s="4"/>
      <c r="D50" s="12"/>
      <c r="E50" s="12"/>
      <c r="F50" s="12"/>
      <c r="G50" s="12"/>
      <c r="H50" s="37"/>
      <c r="I50" s="36"/>
      <c r="J50" s="12"/>
      <c r="R50" s="21"/>
    </row>
    <row r="51" spans="1:18" x14ac:dyDescent="0.2">
      <c r="A51" t="s">
        <v>113</v>
      </c>
      <c r="B51" s="28"/>
      <c r="C51" s="4"/>
      <c r="D51" s="12"/>
      <c r="E51" s="12"/>
      <c r="F51" s="12"/>
      <c r="G51" s="12"/>
      <c r="H51" s="37"/>
      <c r="I51" s="37"/>
      <c r="J51" s="12"/>
      <c r="R51" s="21"/>
    </row>
    <row r="52" spans="1:18" ht="114" x14ac:dyDescent="0.2">
      <c r="A52" t="s">
        <v>114</v>
      </c>
      <c r="B52" s="35" t="s">
        <v>115</v>
      </c>
      <c r="C52" s="4"/>
      <c r="D52" s="12" t="s">
        <v>74</v>
      </c>
      <c r="E52" s="40" t="s">
        <v>116</v>
      </c>
      <c r="F52" s="40" t="s">
        <v>120</v>
      </c>
      <c r="G52" s="12"/>
      <c r="H52" s="37"/>
      <c r="I52" s="37"/>
      <c r="J52" s="12"/>
      <c r="R52" s="21"/>
    </row>
    <row r="53" spans="1:18" x14ac:dyDescent="0.2">
      <c r="A53" t="s">
        <v>118</v>
      </c>
      <c r="B53" s="35"/>
      <c r="C53" s="4"/>
      <c r="D53" s="12" t="s">
        <v>32</v>
      </c>
      <c r="E53" s="12"/>
      <c r="F53" s="12"/>
      <c r="G53" s="12"/>
      <c r="H53" s="37"/>
      <c r="I53" s="37"/>
      <c r="J53" s="12"/>
      <c r="R53" s="21"/>
    </row>
    <row r="54" spans="1:18" x14ac:dyDescent="0.2">
      <c r="A54" t="s">
        <v>117</v>
      </c>
      <c r="B54" s="28"/>
      <c r="C54" s="4"/>
      <c r="D54" s="12" t="s">
        <v>38</v>
      </c>
      <c r="E54" s="12" t="s">
        <v>32</v>
      </c>
      <c r="F54" s="12"/>
      <c r="G54" s="12"/>
      <c r="H54" s="37"/>
      <c r="I54" s="37"/>
      <c r="J54" s="43"/>
      <c r="R54" s="21"/>
    </row>
    <row r="55" spans="1:18" x14ac:dyDescent="0.2">
      <c r="A55" t="s">
        <v>119</v>
      </c>
      <c r="B55" s="28"/>
      <c r="C55" s="4"/>
      <c r="D55" s="12" t="s">
        <v>32</v>
      </c>
      <c r="E55" s="12"/>
      <c r="F55" s="12"/>
      <c r="G55" s="12"/>
      <c r="H55" s="37"/>
      <c r="I55" s="37"/>
      <c r="J55" s="12"/>
      <c r="R55" s="21"/>
    </row>
    <row r="56" spans="1:18" x14ac:dyDescent="0.2">
      <c r="A56" t="s">
        <v>121</v>
      </c>
      <c r="D56" s="12" t="s">
        <v>32</v>
      </c>
      <c r="E56" s="12"/>
      <c r="F56" s="12"/>
      <c r="G56" s="12"/>
      <c r="H56" s="37"/>
      <c r="I56" s="37"/>
      <c r="J56" s="12"/>
      <c r="R56" s="21"/>
    </row>
    <row r="57" spans="1:18" x14ac:dyDescent="0.2">
      <c r="A57" t="s">
        <v>122</v>
      </c>
      <c r="D57" s="12" t="s">
        <v>38</v>
      </c>
      <c r="E57" s="12" t="s">
        <v>32</v>
      </c>
      <c r="F57" s="12"/>
      <c r="G57" s="12"/>
      <c r="H57" s="37"/>
      <c r="I57" s="37"/>
      <c r="J57" s="44"/>
      <c r="R57" s="21"/>
    </row>
    <row r="58" spans="1:18" x14ac:dyDescent="0.2">
      <c r="A58" s="41" t="s">
        <v>123</v>
      </c>
      <c r="B58" s="28"/>
      <c r="C58" s="4"/>
      <c r="D58" s="12"/>
      <c r="E58" s="12"/>
      <c r="F58" s="12"/>
      <c r="G58" s="12"/>
      <c r="H58" s="12"/>
      <c r="I58" s="12"/>
      <c r="J58" s="12"/>
      <c r="R58" s="21"/>
    </row>
    <row r="59" spans="1:18" x14ac:dyDescent="0.2">
      <c r="A59" s="41" t="s">
        <v>124</v>
      </c>
      <c r="B59" s="28"/>
      <c r="C59" s="4"/>
      <c r="D59" s="12" t="s">
        <v>38</v>
      </c>
      <c r="E59" s="12" t="s">
        <v>74</v>
      </c>
      <c r="F59" s="12"/>
      <c r="G59" s="12"/>
      <c r="H59" s="12"/>
      <c r="I59" s="12"/>
      <c r="J59" s="12"/>
      <c r="R59" s="21"/>
    </row>
    <row r="60" spans="1:18" x14ac:dyDescent="0.2">
      <c r="A60" s="41" t="s">
        <v>128</v>
      </c>
      <c r="B60" s="28"/>
      <c r="C60" s="4"/>
      <c r="D60" s="12"/>
      <c r="E60" s="12"/>
      <c r="F60" s="12"/>
      <c r="G60" s="12"/>
      <c r="H60" s="12"/>
      <c r="I60" s="12"/>
      <c r="J60" s="12"/>
      <c r="R60" s="21"/>
    </row>
    <row r="61" spans="1:18" x14ac:dyDescent="0.2">
      <c r="A61" s="41" t="s">
        <v>129</v>
      </c>
      <c r="B61" s="28"/>
      <c r="C61" s="4"/>
      <c r="D61" s="12"/>
      <c r="E61" s="12"/>
      <c r="F61" s="12"/>
      <c r="G61" s="12"/>
      <c r="H61" s="12"/>
      <c r="I61" s="12"/>
      <c r="J61" s="12"/>
      <c r="R61" s="21"/>
    </row>
    <row r="62" spans="1:18" x14ac:dyDescent="0.2">
      <c r="A62" s="41" t="s">
        <v>125</v>
      </c>
      <c r="B62" s="28"/>
      <c r="C62" s="4"/>
      <c r="D62" s="12"/>
      <c r="E62" s="12"/>
      <c r="F62" s="12"/>
      <c r="G62" s="12"/>
      <c r="H62" s="12"/>
      <c r="I62" s="12"/>
      <c r="J62" s="12"/>
      <c r="R62" s="21"/>
    </row>
    <row r="63" spans="1:18" x14ac:dyDescent="0.2">
      <c r="A63" s="41" t="s">
        <v>126</v>
      </c>
      <c r="B63" s="28"/>
      <c r="C63" s="4"/>
      <c r="D63" s="12"/>
      <c r="E63" s="12"/>
      <c r="F63" s="12"/>
      <c r="G63" s="12"/>
      <c r="H63" s="12"/>
      <c r="I63" s="12"/>
      <c r="J63" s="12"/>
      <c r="R63" s="21"/>
    </row>
    <row r="64" spans="1:18" x14ac:dyDescent="0.2">
      <c r="A64" s="41" t="s">
        <v>127</v>
      </c>
      <c r="B64" s="28"/>
      <c r="C64" s="4"/>
      <c r="D64" s="12" t="s">
        <v>38</v>
      </c>
      <c r="E64" s="12"/>
      <c r="F64" s="12"/>
      <c r="G64" s="12"/>
      <c r="H64" s="12"/>
      <c r="I64" s="12"/>
      <c r="J64" s="12"/>
      <c r="R64" s="21"/>
    </row>
    <row r="65" spans="1:27" x14ac:dyDescent="0.2">
      <c r="A65" s="41" t="s">
        <v>130</v>
      </c>
      <c r="B65" s="28" t="s">
        <v>131</v>
      </c>
      <c r="C65" s="4"/>
      <c r="D65" s="12"/>
      <c r="E65" s="12"/>
      <c r="F65" s="12"/>
      <c r="G65" s="12"/>
      <c r="H65" s="12"/>
      <c r="I65" s="12"/>
      <c r="J65" s="12"/>
      <c r="R65" s="21"/>
    </row>
    <row r="66" spans="1:27" x14ac:dyDescent="0.2">
      <c r="A66" s="41" t="s">
        <v>132</v>
      </c>
      <c r="B66" s="28"/>
      <c r="C66" s="4"/>
      <c r="D66" s="12" t="s">
        <v>74</v>
      </c>
      <c r="E66" s="12"/>
      <c r="F66" s="12"/>
      <c r="G66" s="12"/>
      <c r="H66" s="12"/>
      <c r="I66" s="12"/>
      <c r="J66" s="12"/>
      <c r="R66" s="21"/>
    </row>
    <row r="67" spans="1:27" x14ac:dyDescent="0.2">
      <c r="A67" s="41" t="s">
        <v>137</v>
      </c>
      <c r="B67" s="28" t="s">
        <v>138</v>
      </c>
      <c r="C67" s="4"/>
      <c r="D67" s="12" t="s">
        <v>139</v>
      </c>
      <c r="E67" s="41" t="s">
        <v>32</v>
      </c>
      <c r="F67" s="12"/>
      <c r="G67" s="12"/>
      <c r="H67" s="12"/>
      <c r="I67" s="12"/>
      <c r="J67" s="12"/>
      <c r="R67" s="21"/>
    </row>
    <row r="68" spans="1:27" x14ac:dyDescent="0.2">
      <c r="A68" s="41" t="s">
        <v>142</v>
      </c>
      <c r="B68" s="28"/>
      <c r="C68" s="4"/>
      <c r="D68" s="12"/>
      <c r="E68" s="12" t="s">
        <v>32</v>
      </c>
      <c r="F68" s="12"/>
      <c r="G68" s="12"/>
      <c r="H68" s="12"/>
      <c r="I68" s="12"/>
      <c r="J68" s="12"/>
      <c r="R68" s="21"/>
    </row>
    <row r="69" spans="1:27" x14ac:dyDescent="0.2">
      <c r="A69" s="41" t="s">
        <v>143</v>
      </c>
      <c r="B69" s="28"/>
      <c r="C69" s="4"/>
      <c r="D69" s="12"/>
      <c r="E69" s="12"/>
      <c r="F69" s="12"/>
      <c r="G69" s="12"/>
      <c r="H69" s="12"/>
      <c r="I69" s="12"/>
      <c r="J69" s="12"/>
      <c r="R69" s="21"/>
    </row>
    <row r="70" spans="1:27" x14ac:dyDescent="0.2">
      <c r="B70" s="28"/>
      <c r="C70" s="4"/>
      <c r="D70" s="12"/>
      <c r="E70" s="12"/>
      <c r="F70" s="12"/>
      <c r="G70" s="12"/>
      <c r="H70" s="12"/>
      <c r="I70" s="12"/>
      <c r="J70" s="12"/>
      <c r="R70" s="21"/>
    </row>
    <row r="71" spans="1:27" x14ac:dyDescent="0.2">
      <c r="B71" s="28"/>
      <c r="C71" s="4"/>
      <c r="D71" s="12"/>
      <c r="E71" s="12"/>
      <c r="F71" s="12"/>
      <c r="G71" s="12"/>
      <c r="H71" s="12"/>
      <c r="I71" s="12"/>
      <c r="J71" s="12"/>
      <c r="R71" s="21"/>
    </row>
    <row r="72" spans="1:27" x14ac:dyDescent="0.2">
      <c r="A72" s="19"/>
      <c r="B72" s="29"/>
      <c r="C72" s="19"/>
      <c r="D72" s="20"/>
      <c r="E72" s="20"/>
      <c r="F72" s="20"/>
      <c r="G72" s="20"/>
      <c r="H72" s="20"/>
      <c r="I72" s="20"/>
      <c r="J72" s="20"/>
      <c r="K72" s="19"/>
      <c r="L72" s="19"/>
      <c r="M72" s="19"/>
      <c r="N72" s="19"/>
      <c r="O72" s="19"/>
      <c r="P72" s="19"/>
      <c r="Q72" s="19"/>
      <c r="R72" s="25"/>
      <c r="S72" s="29"/>
      <c r="T72" s="19"/>
      <c r="U72" s="19"/>
      <c r="V72" s="19"/>
      <c r="W72" s="19"/>
      <c r="X72" s="4"/>
      <c r="Y72" s="4"/>
      <c r="Z72" s="4"/>
      <c r="AA72" s="4"/>
    </row>
    <row r="73" spans="1:27" x14ac:dyDescent="0.2">
      <c r="A73" s="46" t="s">
        <v>140</v>
      </c>
      <c r="B73" s="46"/>
      <c r="C73" s="46"/>
      <c r="D73" s="12" t="s">
        <v>32</v>
      </c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</row>
    <row r="74" spans="1:27" x14ac:dyDescent="0.2">
      <c r="A74" s="4" t="s">
        <v>141</v>
      </c>
      <c r="B74" s="4"/>
      <c r="C74" s="4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</row>
    <row r="75" spans="1:27" x14ac:dyDescent="0.2">
      <c r="A75" s="4" t="s">
        <v>145</v>
      </c>
      <c r="B75" s="4"/>
      <c r="C75" s="4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</row>
    <row r="76" spans="1:27" x14ac:dyDescent="0.2">
      <c r="A76" s="4" t="s">
        <v>146</v>
      </c>
      <c r="B76" s="4"/>
      <c r="C76" s="4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</row>
    <row r="77" spans="1:27" x14ac:dyDescent="0.2">
      <c r="A77" s="4" t="s">
        <v>147</v>
      </c>
      <c r="B77" s="4"/>
      <c r="C77" s="4"/>
      <c r="D77" s="12" t="s">
        <v>38</v>
      </c>
      <c r="E77" s="12" t="s">
        <v>32</v>
      </c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</row>
    <row r="78" spans="1:27" x14ac:dyDescent="0.2">
      <c r="A78" s="41" t="s">
        <v>148</v>
      </c>
      <c r="B78" s="4"/>
      <c r="C78" s="4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</row>
    <row r="79" spans="1:27" x14ac:dyDescent="0.2">
      <c r="A79" s="4"/>
      <c r="B79" s="4"/>
      <c r="C79" s="4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</row>
    <row r="80" spans="1:27" x14ac:dyDescent="0.2">
      <c r="A80" s="41" t="s">
        <v>149</v>
      </c>
      <c r="B80" s="4"/>
      <c r="C80" s="4"/>
      <c r="D80" s="12" t="s">
        <v>32</v>
      </c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</row>
    <row r="81" spans="1:18" x14ac:dyDescent="0.2">
      <c r="A81" s="41" t="s">
        <v>152</v>
      </c>
      <c r="B81" s="4"/>
      <c r="C81" s="4"/>
      <c r="D81" s="12" t="s">
        <v>32</v>
      </c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</row>
    <row r="82" spans="1:18" x14ac:dyDescent="0.2">
      <c r="A82" s="41" t="s">
        <v>151</v>
      </c>
      <c r="B82" s="4"/>
      <c r="C82" s="4"/>
      <c r="D82" s="12" t="s">
        <v>74</v>
      </c>
      <c r="E82" s="12" t="s">
        <v>32</v>
      </c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</row>
    <row r="83" spans="1:18" x14ac:dyDescent="0.2">
      <c r="A83" s="41" t="s">
        <v>150</v>
      </c>
      <c r="B83" s="4"/>
      <c r="C83" s="4"/>
      <c r="D83" s="12" t="s">
        <v>32</v>
      </c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</row>
    <row r="84" spans="1:18" x14ac:dyDescent="0.2">
      <c r="A84" s="41" t="s">
        <v>153</v>
      </c>
      <c r="B84" s="4"/>
      <c r="C84" s="4"/>
      <c r="D84" s="12" t="s">
        <v>38</v>
      </c>
      <c r="E84" s="12" t="s">
        <v>34</v>
      </c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</row>
    <row r="85" spans="1:18" x14ac:dyDescent="0.2">
      <c r="A85" s="41" t="s">
        <v>154</v>
      </c>
      <c r="B85" s="4"/>
      <c r="C85" s="4"/>
      <c r="D85" s="12" t="s">
        <v>38</v>
      </c>
      <c r="E85" s="12" t="s">
        <v>156</v>
      </c>
      <c r="F85" s="12" t="s">
        <v>32</v>
      </c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</row>
    <row r="86" spans="1:18" x14ac:dyDescent="0.2">
      <c r="A86" s="41" t="s">
        <v>157</v>
      </c>
      <c r="B86" s="4"/>
      <c r="C86" s="4"/>
      <c r="D86" s="12" t="s">
        <v>38</v>
      </c>
      <c r="E86" s="12" t="s">
        <v>32</v>
      </c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</row>
    <row r="87" spans="1:18" x14ac:dyDescent="0.2">
      <c r="A87" s="41" t="s">
        <v>161</v>
      </c>
      <c r="B87" s="4"/>
      <c r="C87" s="4"/>
      <c r="D87" s="12" t="s">
        <v>38</v>
      </c>
      <c r="E87" s="12" t="s">
        <v>32</v>
      </c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</row>
    <row r="88" spans="1:18" x14ac:dyDescent="0.2">
      <c r="A88" s="41" t="s">
        <v>162</v>
      </c>
      <c r="B88" s="4"/>
      <c r="C88" s="4"/>
      <c r="D88" s="12" t="s">
        <v>38</v>
      </c>
      <c r="E88" s="12" t="s">
        <v>32</v>
      </c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</row>
    <row r="89" spans="1:18" x14ac:dyDescent="0.2">
      <c r="A89" s="41" t="s">
        <v>164</v>
      </c>
      <c r="B89" s="4"/>
      <c r="C89" s="4"/>
      <c r="D89" s="12" t="s">
        <v>32</v>
      </c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</row>
    <row r="90" spans="1:18" x14ac:dyDescent="0.2">
      <c r="A90" s="41" t="s">
        <v>168</v>
      </c>
      <c r="B90" s="4"/>
      <c r="C90" s="4"/>
      <c r="D90" s="12" t="s">
        <v>32</v>
      </c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</row>
    <row r="91" spans="1:18" x14ac:dyDescent="0.2">
      <c r="A91" s="41" t="s">
        <v>155</v>
      </c>
      <c r="B91" s="4"/>
      <c r="C91" s="4"/>
      <c r="D91" s="12" t="s">
        <v>38</v>
      </c>
      <c r="E91" s="12" t="s">
        <v>74</v>
      </c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</row>
    <row r="92" spans="1:18" x14ac:dyDescent="0.2">
      <c r="A92" s="41" t="s">
        <v>160</v>
      </c>
      <c r="B92" s="4"/>
      <c r="C92" s="4"/>
      <c r="D92" s="12" t="s">
        <v>38</v>
      </c>
      <c r="E92" s="12" t="s">
        <v>74</v>
      </c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</row>
    <row r="93" spans="1:18" x14ac:dyDescent="0.2">
      <c r="A93" s="41" t="s">
        <v>163</v>
      </c>
      <c r="B93" s="4"/>
      <c r="C93" s="4"/>
      <c r="D93" s="12" t="s">
        <v>38</v>
      </c>
      <c r="E93" s="12" t="s">
        <v>74</v>
      </c>
      <c r="F93" s="12" t="s">
        <v>171</v>
      </c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</row>
    <row r="94" spans="1:18" x14ac:dyDescent="0.2">
      <c r="A94" s="41" t="s">
        <v>165</v>
      </c>
      <c r="B94" s="4"/>
      <c r="C94" s="4"/>
      <c r="D94" s="12" t="s">
        <v>38</v>
      </c>
      <c r="E94" s="12" t="s">
        <v>74</v>
      </c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</row>
    <row r="95" spans="1:18" x14ac:dyDescent="0.2">
      <c r="A95" s="41" t="s">
        <v>166</v>
      </c>
      <c r="B95" s="4"/>
      <c r="C95" s="4"/>
      <c r="D95" s="12" t="s">
        <v>38</v>
      </c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</row>
    <row r="96" spans="1:18" x14ac:dyDescent="0.2">
      <c r="A96" s="41" t="s">
        <v>167</v>
      </c>
      <c r="B96" s="4"/>
      <c r="C96" s="4"/>
      <c r="D96" s="12" t="s">
        <v>38</v>
      </c>
      <c r="E96" s="12" t="s">
        <v>169</v>
      </c>
      <c r="F96" s="12" t="s">
        <v>172</v>
      </c>
      <c r="G96" s="12" t="s">
        <v>32</v>
      </c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</row>
    <row r="97" spans="1:21" x14ac:dyDescent="0.2">
      <c r="A97" s="41" t="s">
        <v>170</v>
      </c>
      <c r="B97" s="4"/>
      <c r="C97" s="4"/>
      <c r="D97" s="12" t="s">
        <v>38</v>
      </c>
      <c r="E97" s="12" t="s">
        <v>74</v>
      </c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</row>
    <row r="98" spans="1:21" x14ac:dyDescent="0.2">
      <c r="A98" s="41" t="s">
        <v>173</v>
      </c>
      <c r="B98" s="4"/>
      <c r="C98" s="4"/>
      <c r="D98" s="12" t="s">
        <v>74</v>
      </c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T98" s="4"/>
    </row>
    <row r="99" spans="1:21" x14ac:dyDescent="0.2">
      <c r="A99" s="41" t="s">
        <v>174</v>
      </c>
      <c r="B99" s="4"/>
      <c r="C99" s="4"/>
      <c r="D99" s="12" t="s">
        <v>74</v>
      </c>
      <c r="E99" s="12" t="s">
        <v>175</v>
      </c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</row>
    <row r="100" spans="1:21" ht="15" thickBot="1" x14ac:dyDescent="0.25">
      <c r="A100" s="45" t="s">
        <v>176</v>
      </c>
      <c r="B100" s="45"/>
      <c r="C100" s="45"/>
      <c r="D100" s="12" t="s">
        <v>38</v>
      </c>
      <c r="E100" s="12" t="s">
        <v>74</v>
      </c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4"/>
      <c r="T100" s="4"/>
      <c r="U100" s="4"/>
    </row>
    <row r="101" spans="1:21" x14ac:dyDescent="0.2">
      <c r="A101" s="41" t="s">
        <v>177</v>
      </c>
      <c r="D101" s="41" t="s">
        <v>158</v>
      </c>
      <c r="E101" s="41"/>
      <c r="F101" s="41"/>
      <c r="G101" s="41"/>
      <c r="H101" s="41"/>
      <c r="I101" s="41"/>
      <c r="J101" s="41"/>
      <c r="K101" s="41"/>
      <c r="L101" s="41"/>
      <c r="M101" s="41"/>
      <c r="N101" s="41"/>
      <c r="O101" s="41"/>
      <c r="P101" s="41"/>
      <c r="Q101" s="41"/>
      <c r="R101" s="41"/>
    </row>
    <row r="102" spans="1:21" x14ac:dyDescent="0.2">
      <c r="A102" s="41" t="s">
        <v>180</v>
      </c>
      <c r="D102" s="41" t="s">
        <v>158</v>
      </c>
      <c r="E102" s="41"/>
      <c r="F102" s="41"/>
      <c r="G102" s="41"/>
      <c r="H102" s="41"/>
      <c r="I102" s="41"/>
      <c r="J102" s="41"/>
      <c r="K102" s="41"/>
      <c r="L102" s="41"/>
      <c r="M102" s="41"/>
      <c r="N102" s="41"/>
      <c r="O102" s="41"/>
      <c r="P102" s="41"/>
      <c r="Q102" s="41"/>
      <c r="R102" s="41"/>
    </row>
    <row r="103" spans="1:21" x14ac:dyDescent="0.2">
      <c r="A103" s="41" t="s">
        <v>178</v>
      </c>
      <c r="D103" s="41" t="s">
        <v>158</v>
      </c>
      <c r="E103" s="41"/>
      <c r="F103" s="41"/>
      <c r="G103" s="41"/>
      <c r="H103" s="41"/>
      <c r="I103" s="41"/>
      <c r="J103" s="41"/>
      <c r="K103" s="41"/>
      <c r="L103" s="41"/>
      <c r="M103" s="41"/>
      <c r="N103" s="41"/>
      <c r="O103" s="41"/>
      <c r="P103" s="41"/>
      <c r="Q103" s="41"/>
      <c r="R103" s="41"/>
    </row>
    <row r="104" spans="1:21" x14ac:dyDescent="0.2">
      <c r="A104" s="41" t="s">
        <v>179</v>
      </c>
      <c r="D104" s="41" t="s">
        <v>158</v>
      </c>
      <c r="E104" s="41" t="s">
        <v>159</v>
      </c>
      <c r="F104" s="41"/>
      <c r="G104" s="41"/>
      <c r="H104" s="41"/>
      <c r="I104" s="41"/>
      <c r="J104" s="41"/>
      <c r="K104" s="41"/>
      <c r="L104" s="41"/>
      <c r="M104" s="41"/>
      <c r="N104" s="41"/>
      <c r="O104" s="41"/>
      <c r="P104" s="41"/>
      <c r="Q104" s="41"/>
      <c r="R104" s="41"/>
    </row>
    <row r="105" spans="1:21" x14ac:dyDescent="0.2">
      <c r="A105" s="41" t="s">
        <v>181</v>
      </c>
      <c r="D105" s="41"/>
      <c r="E105" s="41"/>
      <c r="F105" s="41"/>
      <c r="G105" s="41"/>
      <c r="H105" s="41"/>
      <c r="I105" s="41"/>
      <c r="J105" s="41"/>
      <c r="K105" s="41"/>
      <c r="L105" s="41"/>
      <c r="M105" s="41"/>
      <c r="N105" s="41"/>
      <c r="O105" s="41"/>
      <c r="P105" s="41"/>
      <c r="Q105" s="41"/>
      <c r="R105" s="41"/>
    </row>
    <row r="106" spans="1:21" x14ac:dyDescent="0.2">
      <c r="A106" s="41" t="s">
        <v>182</v>
      </c>
      <c r="D106" s="41"/>
      <c r="E106" s="41"/>
      <c r="F106" s="41"/>
      <c r="G106" s="41"/>
      <c r="H106" s="41"/>
      <c r="I106" s="41"/>
      <c r="J106" s="41"/>
      <c r="K106" s="41"/>
      <c r="L106" s="41"/>
      <c r="M106" s="41"/>
      <c r="N106" s="41"/>
      <c r="O106" s="41"/>
      <c r="P106" s="41"/>
      <c r="Q106" s="41"/>
      <c r="R106" s="41"/>
    </row>
    <row r="107" spans="1:21" x14ac:dyDescent="0.2">
      <c r="D107" s="41"/>
      <c r="E107" s="41"/>
      <c r="F107" s="41"/>
      <c r="G107" s="41"/>
      <c r="H107" s="41"/>
      <c r="I107" s="41"/>
      <c r="J107" s="41"/>
      <c r="K107" s="41"/>
      <c r="L107" s="41"/>
      <c r="M107" s="41"/>
      <c r="N107" s="41"/>
      <c r="O107" s="41"/>
      <c r="P107" s="41"/>
      <c r="Q107" s="41"/>
      <c r="R107" s="41"/>
    </row>
    <row r="108" spans="1:21" x14ac:dyDescent="0.2">
      <c r="D108" s="41"/>
      <c r="E108" s="41"/>
      <c r="F108" s="41"/>
      <c r="G108" s="41"/>
      <c r="H108" s="41"/>
      <c r="I108" s="41"/>
      <c r="J108" s="41"/>
      <c r="K108" s="41"/>
      <c r="L108" s="41"/>
      <c r="M108" s="41"/>
      <c r="N108" s="41"/>
      <c r="O108" s="41"/>
      <c r="P108" s="41"/>
      <c r="Q108" s="41"/>
      <c r="R108" s="41"/>
    </row>
    <row r="109" spans="1:21" x14ac:dyDescent="0.2">
      <c r="D109" s="41"/>
      <c r="E109" s="41"/>
      <c r="F109" s="41"/>
      <c r="G109" s="41"/>
      <c r="H109" s="41"/>
      <c r="I109" s="41"/>
      <c r="J109" s="41"/>
      <c r="K109" s="41"/>
      <c r="L109" s="41"/>
      <c r="M109" s="41"/>
      <c r="N109" s="41"/>
      <c r="O109" s="41"/>
      <c r="P109" s="41"/>
      <c r="Q109" s="41"/>
      <c r="R109" s="41"/>
    </row>
    <row r="110" spans="1:21" x14ac:dyDescent="0.2"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</row>
    <row r="111" spans="1:21" x14ac:dyDescent="0.2">
      <c r="D111" s="41"/>
      <c r="E111" s="41"/>
      <c r="F111" s="41"/>
      <c r="G111" s="41"/>
      <c r="H111" s="41"/>
      <c r="I111" s="41"/>
      <c r="J111" s="41"/>
      <c r="K111" s="41"/>
      <c r="L111" s="41"/>
      <c r="M111" s="41"/>
      <c r="N111" s="41"/>
      <c r="O111" s="41"/>
      <c r="P111" s="41"/>
      <c r="Q111" s="41"/>
      <c r="R111" s="41"/>
    </row>
    <row r="112" spans="1:21" x14ac:dyDescent="0.2">
      <c r="D112" s="41"/>
      <c r="E112" s="41"/>
      <c r="F112" s="41"/>
      <c r="G112" s="41"/>
      <c r="H112" s="41"/>
      <c r="I112" s="41"/>
      <c r="J112" s="41"/>
      <c r="K112" s="41"/>
      <c r="L112" s="41"/>
      <c r="M112" s="41"/>
      <c r="N112" s="41"/>
      <c r="O112" s="41"/>
      <c r="P112" s="41"/>
      <c r="Q112" s="41"/>
      <c r="R112" s="41"/>
    </row>
    <row r="113" spans="4:18" x14ac:dyDescent="0.2">
      <c r="D113" s="41"/>
      <c r="E113" s="41"/>
      <c r="F113" s="41"/>
      <c r="G113" s="41"/>
      <c r="H113" s="41"/>
      <c r="I113" s="41"/>
      <c r="J113" s="41"/>
      <c r="K113" s="41"/>
      <c r="L113" s="41"/>
      <c r="M113" s="41"/>
      <c r="N113" s="41"/>
      <c r="O113" s="41"/>
      <c r="P113" s="41"/>
      <c r="Q113" s="41"/>
      <c r="R113" s="41"/>
    </row>
    <row r="114" spans="4:18" x14ac:dyDescent="0.2">
      <c r="D114" s="41"/>
      <c r="E114" s="41"/>
      <c r="F114" s="41"/>
      <c r="G114" s="41"/>
      <c r="H114" s="41"/>
      <c r="I114" s="41"/>
      <c r="J114" s="41"/>
      <c r="K114" s="41"/>
      <c r="L114" s="41"/>
      <c r="M114" s="41"/>
      <c r="N114" s="41"/>
      <c r="O114" s="41"/>
      <c r="P114" s="41"/>
      <c r="Q114" s="41"/>
      <c r="R114" s="41"/>
    </row>
    <row r="115" spans="4:18" x14ac:dyDescent="0.2">
      <c r="D115" s="41"/>
      <c r="E115" s="41"/>
      <c r="F115" s="41"/>
      <c r="G115" s="41"/>
      <c r="H115" s="41"/>
      <c r="I115" s="41"/>
      <c r="J115" s="41"/>
      <c r="K115" s="41"/>
      <c r="L115" s="41"/>
      <c r="M115" s="41"/>
      <c r="N115" s="41"/>
      <c r="O115" s="41"/>
      <c r="P115" s="41"/>
      <c r="Q115" s="41"/>
      <c r="R115" s="41"/>
    </row>
    <row r="116" spans="4:18" x14ac:dyDescent="0.2">
      <c r="D116" s="41"/>
      <c r="E116" s="41"/>
      <c r="F116" s="41"/>
      <c r="G116" s="41"/>
      <c r="H116" s="41"/>
      <c r="I116" s="41"/>
      <c r="J116" s="41"/>
      <c r="K116" s="41"/>
      <c r="L116" s="41"/>
      <c r="M116" s="41"/>
      <c r="N116" s="41"/>
      <c r="O116" s="41"/>
      <c r="P116" s="41"/>
      <c r="Q116" s="41"/>
      <c r="R116" s="41"/>
    </row>
    <row r="117" spans="4:18" x14ac:dyDescent="0.2">
      <c r="D117" s="41"/>
      <c r="E117" s="41"/>
      <c r="F117" s="41"/>
      <c r="G117" s="41"/>
      <c r="H117" s="41"/>
      <c r="I117" s="41"/>
      <c r="J117" s="41"/>
      <c r="K117" s="41"/>
      <c r="L117" s="41"/>
      <c r="M117" s="41"/>
      <c r="N117" s="41"/>
      <c r="O117" s="41"/>
      <c r="P117" s="41"/>
      <c r="Q117" s="41"/>
      <c r="R117" s="41"/>
    </row>
    <row r="118" spans="4:18" x14ac:dyDescent="0.2">
      <c r="D118" s="41"/>
      <c r="E118" s="41"/>
      <c r="F118" s="41"/>
      <c r="G118" s="41"/>
      <c r="H118" s="41"/>
      <c r="I118" s="41"/>
      <c r="J118" s="41"/>
      <c r="K118" s="41"/>
      <c r="L118" s="41"/>
      <c r="M118" s="41"/>
      <c r="N118" s="41"/>
      <c r="O118" s="41"/>
      <c r="P118" s="41"/>
      <c r="Q118" s="41"/>
      <c r="R118" s="41"/>
    </row>
    <row r="119" spans="4:18" x14ac:dyDescent="0.2">
      <c r="D119" s="41"/>
      <c r="E119" s="41"/>
      <c r="F119" s="41"/>
      <c r="G119" s="41"/>
      <c r="H119" s="41"/>
      <c r="I119" s="41"/>
      <c r="J119" s="41"/>
      <c r="K119" s="41"/>
      <c r="L119" s="41"/>
      <c r="M119" s="41"/>
      <c r="N119" s="41"/>
      <c r="O119" s="41"/>
      <c r="P119" s="41"/>
      <c r="Q119" s="41"/>
      <c r="R119" s="41"/>
    </row>
    <row r="120" spans="4:18" x14ac:dyDescent="0.2">
      <c r="D120" s="41"/>
      <c r="E120" s="41"/>
      <c r="F120" s="41"/>
      <c r="G120" s="41"/>
      <c r="H120" s="41"/>
      <c r="I120" s="41"/>
      <c r="J120" s="41"/>
      <c r="K120" s="41"/>
      <c r="L120" s="41"/>
      <c r="M120" s="41"/>
      <c r="N120" s="41"/>
      <c r="O120" s="41"/>
      <c r="P120" s="41"/>
      <c r="Q120" s="41"/>
      <c r="R120" s="41"/>
    </row>
    <row r="121" spans="4:18" x14ac:dyDescent="0.2">
      <c r="D121" s="41"/>
      <c r="E121" s="41"/>
      <c r="F121" s="41"/>
      <c r="G121" s="41"/>
      <c r="H121" s="41"/>
      <c r="I121" s="41"/>
      <c r="J121" s="41"/>
      <c r="K121" s="41"/>
      <c r="L121" s="41"/>
      <c r="M121" s="41"/>
      <c r="N121" s="41"/>
      <c r="O121" s="41"/>
      <c r="P121" s="41"/>
      <c r="Q121" s="41"/>
      <c r="R121" s="41"/>
    </row>
    <row r="122" spans="4:18" x14ac:dyDescent="0.2">
      <c r="D122" s="41"/>
      <c r="E122" s="41"/>
      <c r="F122" s="41"/>
      <c r="G122" s="41"/>
      <c r="H122" s="41"/>
      <c r="I122" s="41"/>
      <c r="J122" s="41"/>
      <c r="K122" s="41"/>
      <c r="L122" s="41"/>
      <c r="M122" s="41"/>
      <c r="N122" s="41"/>
      <c r="O122" s="41"/>
      <c r="P122" s="41"/>
      <c r="Q122" s="41"/>
      <c r="R122" s="41"/>
    </row>
    <row r="123" spans="4:18" x14ac:dyDescent="0.2">
      <c r="D123" s="41"/>
      <c r="E123" s="41"/>
      <c r="F123" s="41"/>
      <c r="G123" s="41"/>
      <c r="H123" s="41"/>
      <c r="I123" s="41"/>
      <c r="J123" s="41"/>
      <c r="K123" s="41"/>
      <c r="L123" s="41"/>
      <c r="M123" s="41"/>
      <c r="N123" s="41"/>
      <c r="O123" s="41"/>
      <c r="P123" s="41"/>
      <c r="Q123" s="41"/>
      <c r="R123" s="41"/>
    </row>
    <row r="124" spans="4:18" x14ac:dyDescent="0.2">
      <c r="D124" s="41"/>
      <c r="E124" s="41"/>
      <c r="F124" s="41"/>
      <c r="G124" s="41"/>
      <c r="H124" s="41"/>
      <c r="I124" s="41"/>
      <c r="J124" s="41"/>
      <c r="K124" s="41"/>
      <c r="L124" s="41"/>
      <c r="M124" s="41"/>
      <c r="N124" s="41"/>
      <c r="O124" s="41"/>
      <c r="P124" s="41"/>
      <c r="Q124" s="41"/>
      <c r="R124" s="41"/>
    </row>
    <row r="125" spans="4:18" x14ac:dyDescent="0.2">
      <c r="D125" s="41"/>
      <c r="E125" s="41"/>
      <c r="F125" s="41"/>
      <c r="G125" s="41"/>
      <c r="H125" s="41"/>
      <c r="I125" s="41"/>
      <c r="J125" s="41"/>
      <c r="K125" s="41"/>
      <c r="L125" s="41"/>
      <c r="M125" s="41"/>
      <c r="N125" s="41"/>
      <c r="O125" s="41"/>
      <c r="P125" s="41"/>
      <c r="Q125" s="41"/>
      <c r="R125" s="41"/>
    </row>
    <row r="126" spans="4:18" x14ac:dyDescent="0.2">
      <c r="D126" s="41"/>
      <c r="E126" s="41"/>
      <c r="F126" s="41"/>
      <c r="G126" s="41"/>
      <c r="H126" s="41"/>
      <c r="I126" s="41"/>
      <c r="J126" s="41"/>
      <c r="K126" s="41"/>
      <c r="L126" s="41"/>
      <c r="M126" s="41"/>
      <c r="N126" s="41"/>
      <c r="O126" s="41"/>
      <c r="P126" s="41"/>
      <c r="Q126" s="41"/>
      <c r="R126" s="41"/>
    </row>
    <row r="127" spans="4:18" x14ac:dyDescent="0.2">
      <c r="D127" s="41"/>
      <c r="E127" s="41"/>
      <c r="F127" s="41"/>
      <c r="G127" s="41"/>
      <c r="H127" s="41"/>
      <c r="I127" s="41"/>
      <c r="J127" s="41"/>
      <c r="K127" s="41"/>
      <c r="L127" s="41"/>
      <c r="M127" s="41"/>
      <c r="N127" s="41"/>
      <c r="O127" s="41"/>
      <c r="P127" s="41"/>
      <c r="Q127" s="41"/>
      <c r="R127" s="41"/>
    </row>
    <row r="128" spans="4:18" x14ac:dyDescent="0.2">
      <c r="D128" s="41"/>
      <c r="E128" s="41"/>
      <c r="F128" s="41"/>
      <c r="G128" s="41"/>
      <c r="H128" s="41"/>
      <c r="I128" s="41"/>
      <c r="J128" s="41"/>
      <c r="K128" s="41"/>
      <c r="L128" s="41"/>
      <c r="M128" s="41"/>
      <c r="N128" s="41"/>
      <c r="O128" s="41"/>
      <c r="P128" s="41"/>
      <c r="Q128" s="41"/>
      <c r="R128" s="41"/>
    </row>
    <row r="129" spans="4:18" x14ac:dyDescent="0.2">
      <c r="D129" s="41"/>
      <c r="E129" s="41"/>
      <c r="F129" s="41"/>
      <c r="G129" s="41"/>
      <c r="H129" s="41"/>
      <c r="I129" s="41"/>
      <c r="J129" s="41"/>
      <c r="K129" s="41"/>
      <c r="L129" s="41"/>
      <c r="M129" s="41"/>
      <c r="N129" s="41"/>
      <c r="O129" s="41"/>
      <c r="P129" s="41"/>
      <c r="Q129" s="41"/>
      <c r="R129" s="41"/>
    </row>
    <row r="130" spans="4:18" x14ac:dyDescent="0.2">
      <c r="D130" s="41"/>
      <c r="E130" s="41"/>
      <c r="F130" s="41"/>
      <c r="G130" s="41"/>
      <c r="H130" s="41"/>
      <c r="I130" s="41"/>
      <c r="J130" s="41"/>
      <c r="K130" s="41"/>
      <c r="L130" s="41"/>
      <c r="M130" s="41"/>
      <c r="N130" s="41"/>
      <c r="O130" s="41"/>
      <c r="P130" s="41"/>
      <c r="Q130" s="41"/>
      <c r="R130" s="41"/>
    </row>
    <row r="131" spans="4:18" x14ac:dyDescent="0.2">
      <c r="D131" s="41"/>
      <c r="E131" s="41"/>
      <c r="F131" s="41"/>
      <c r="G131" s="41"/>
      <c r="H131" s="41"/>
      <c r="I131" s="41"/>
      <c r="J131" s="41"/>
      <c r="K131" s="41"/>
      <c r="L131" s="41"/>
      <c r="M131" s="41"/>
      <c r="N131" s="41"/>
      <c r="O131" s="41"/>
      <c r="P131" s="41"/>
      <c r="Q131" s="41"/>
      <c r="R131" s="41"/>
    </row>
    <row r="132" spans="4:18" x14ac:dyDescent="0.2">
      <c r="D132" s="41"/>
      <c r="E132" s="41"/>
      <c r="F132" s="41"/>
      <c r="G132" s="41"/>
      <c r="H132" s="41"/>
      <c r="I132" s="41"/>
      <c r="J132" s="41"/>
      <c r="K132" s="41"/>
      <c r="L132" s="41"/>
      <c r="M132" s="41"/>
      <c r="N132" s="41"/>
      <c r="O132" s="41"/>
      <c r="P132" s="41"/>
      <c r="Q132" s="41"/>
      <c r="R132" s="41"/>
    </row>
    <row r="133" spans="4:18" x14ac:dyDescent="0.2">
      <c r="D133" s="41"/>
      <c r="E133" s="41"/>
      <c r="F133" s="41"/>
      <c r="G133" s="41"/>
      <c r="H133" s="41"/>
      <c r="I133" s="41"/>
      <c r="J133" s="41"/>
      <c r="K133" s="41"/>
      <c r="L133" s="41"/>
      <c r="M133" s="41"/>
      <c r="N133" s="41"/>
      <c r="O133" s="41"/>
      <c r="P133" s="41"/>
      <c r="Q133" s="41"/>
      <c r="R133" s="41"/>
    </row>
    <row r="134" spans="4:18" x14ac:dyDescent="0.2">
      <c r="D134" s="41"/>
      <c r="E134" s="41"/>
      <c r="F134" s="41"/>
      <c r="G134" s="41"/>
      <c r="H134" s="41"/>
      <c r="I134" s="41"/>
      <c r="J134" s="41"/>
      <c r="K134" s="41"/>
      <c r="L134" s="41"/>
      <c r="M134" s="41"/>
      <c r="N134" s="41"/>
      <c r="O134" s="41"/>
      <c r="P134" s="41"/>
      <c r="Q134" s="41"/>
      <c r="R134" s="41"/>
    </row>
  </sheetData>
  <mergeCells count="1">
    <mergeCell ref="A9:A11"/>
  </mergeCells>
  <phoneticPr fontId="1" type="noConversion"/>
  <conditionalFormatting sqref="A13:A120">
    <cfRule type="expression" dxfId="9" priority="73">
      <formula>MATCH("done*",LOWER(B13:AA13),)&gt;0</formula>
    </cfRule>
  </conditionalFormatting>
  <conditionalFormatting sqref="D2:R53 D65:R72 D54:J64 N54:R64 D86:R120">
    <cfRule type="expression" dxfId="8" priority="23">
      <formula>ISNUMBER(SEARCH("Doing",D2))</formula>
    </cfRule>
    <cfRule type="expression" dxfId="7" priority="35">
      <formula>ISNUMBER(SEARCH("Todo",D2))</formula>
    </cfRule>
    <cfRule type="expression" dxfId="6" priority="59">
      <formula>ISNUMBER(SEARCH("Done",D2))</formula>
    </cfRule>
    <cfRule type="expression" dxfId="5" priority="60">
      <formula>ISNUMBER(SEARCH("tracing",D2))</formula>
    </cfRule>
  </conditionalFormatting>
  <conditionalFormatting sqref="D73:R85">
    <cfRule type="expression" dxfId="4" priority="1">
      <formula>ISNUMBER(SEARCH("Doing",D73))</formula>
    </cfRule>
    <cfRule type="expression" dxfId="3" priority="2">
      <formula>ISNUMBER(SEARCH("Todo",D73))</formula>
    </cfRule>
    <cfRule type="expression" dxfId="2" priority="3">
      <formula>ISNUMBER(SEARCH("Done",D73))</formula>
    </cfRule>
    <cfRule type="expression" dxfId="1" priority="4">
      <formula>ISNUMBER(SEARCH("tracing",D73))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E17"/>
  <sheetViews>
    <sheetView workbookViewId="0">
      <selection activeCell="G16" sqref="G16"/>
    </sheetView>
  </sheetViews>
  <sheetFormatPr defaultRowHeight="14.25" x14ac:dyDescent="0.2"/>
  <cols>
    <col min="1" max="1" width="15.625" customWidth="1"/>
    <col min="2" max="2" width="41.75" customWidth="1"/>
  </cols>
  <sheetData>
    <row r="2" spans="2:5" x14ac:dyDescent="0.2">
      <c r="B2" t="s">
        <v>101</v>
      </c>
    </row>
    <row r="3" spans="2:5" x14ac:dyDescent="0.2">
      <c r="B3" t="s">
        <v>144</v>
      </c>
    </row>
    <row r="15" spans="2:5" x14ac:dyDescent="0.2">
      <c r="E15">
        <v>1500</v>
      </c>
    </row>
    <row r="16" spans="2:5" x14ac:dyDescent="0.2">
      <c r="E16">
        <v>6</v>
      </c>
    </row>
    <row r="17" spans="5:5" x14ac:dyDescent="0.2">
      <c r="E17">
        <f>E15/E16</f>
        <v>250</v>
      </c>
    </row>
  </sheetData>
  <phoneticPr fontId="1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B2"/>
  <sheetViews>
    <sheetView zoomScale="115" zoomScaleNormal="115" workbookViewId="0">
      <selection activeCell="M15" sqref="M15"/>
    </sheetView>
  </sheetViews>
  <sheetFormatPr defaultRowHeight="14.25" x14ac:dyDescent="0.2"/>
  <cols>
    <col min="1" max="1" width="18" customWidth="1"/>
  </cols>
  <sheetData>
    <row r="2" spans="1:2" x14ac:dyDescent="0.2">
      <c r="A2" t="s">
        <v>102</v>
      </c>
      <c r="B2" t="s">
        <v>103</v>
      </c>
    </row>
  </sheetData>
  <phoneticPr fontId="1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T16"/>
  <sheetViews>
    <sheetView zoomScale="120" zoomScaleNormal="120" workbookViewId="0">
      <selection activeCell="B11" sqref="B11"/>
    </sheetView>
  </sheetViews>
  <sheetFormatPr defaultRowHeight="14.25" x14ac:dyDescent="0.2"/>
  <cols>
    <col min="1" max="1" width="49.625" customWidth="1"/>
    <col min="2" max="2" width="22.625" customWidth="1"/>
  </cols>
  <sheetData>
    <row r="2" spans="1:20" ht="15" x14ac:dyDescent="0.2">
      <c r="A2" s="5" t="s">
        <v>14</v>
      </c>
      <c r="F2" s="5"/>
      <c r="G2" s="5"/>
      <c r="H2" s="5"/>
      <c r="I2" s="5"/>
      <c r="J2" s="6"/>
      <c r="K2" s="6"/>
      <c r="L2" s="5"/>
      <c r="M2" s="7"/>
      <c r="N2" s="7"/>
      <c r="O2" s="7"/>
      <c r="P2" s="8"/>
      <c r="Q2" s="7"/>
      <c r="R2" s="7"/>
      <c r="S2" s="9"/>
      <c r="T2" s="10"/>
    </row>
    <row r="3" spans="1:20" ht="39" customHeight="1" x14ac:dyDescent="0.2">
      <c r="A3" s="5" t="s">
        <v>26</v>
      </c>
    </row>
    <row r="4" spans="1:20" x14ac:dyDescent="0.2">
      <c r="A4" s="5" t="s">
        <v>15</v>
      </c>
    </row>
    <row r="5" spans="1:20" x14ac:dyDescent="0.2">
      <c r="A5" s="5" t="s">
        <v>16</v>
      </c>
    </row>
    <row r="6" spans="1:20" x14ac:dyDescent="0.2">
      <c r="A6" s="6" t="s">
        <v>17</v>
      </c>
    </row>
    <row r="7" spans="1:20" x14ac:dyDescent="0.2">
      <c r="A7" s="6" t="s">
        <v>18</v>
      </c>
    </row>
    <row r="8" spans="1:20" x14ac:dyDescent="0.2">
      <c r="A8" s="5" t="s">
        <v>19</v>
      </c>
    </row>
    <row r="9" spans="1:20" ht="15" x14ac:dyDescent="0.2">
      <c r="A9" s="7" t="s">
        <v>20</v>
      </c>
    </row>
    <row r="10" spans="1:20" ht="15" x14ac:dyDescent="0.2">
      <c r="A10" s="7" t="s">
        <v>21</v>
      </c>
    </row>
    <row r="11" spans="1:20" ht="15" x14ac:dyDescent="0.2">
      <c r="A11" s="7" t="s">
        <v>22</v>
      </c>
    </row>
    <row r="12" spans="1:20" x14ac:dyDescent="0.2">
      <c r="A12" s="8">
        <v>0.54166666666666663</v>
      </c>
    </row>
    <row r="13" spans="1:20" ht="30" x14ac:dyDescent="0.2">
      <c r="A13" s="7" t="s">
        <v>23</v>
      </c>
    </row>
    <row r="14" spans="1:20" ht="15" x14ac:dyDescent="0.2">
      <c r="A14" s="7" t="s">
        <v>24</v>
      </c>
      <c r="B14" t="s">
        <v>27</v>
      </c>
    </row>
    <row r="15" spans="1:20" ht="30" x14ac:dyDescent="0.2">
      <c r="A15" s="9" t="s">
        <v>25</v>
      </c>
    </row>
    <row r="16" spans="1:20" ht="71.25" x14ac:dyDescent="0.2">
      <c r="A16" s="10" t="s">
        <v>28</v>
      </c>
      <c r="B16" t="s">
        <v>29</v>
      </c>
    </row>
  </sheetData>
  <phoneticPr fontId="1" type="noConversion"/>
  <conditionalFormatting sqref="A11">
    <cfRule type="expression" dxfId="0" priority="1">
      <formula>ifnumber(SEARCH("to",A11))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50"/>
  <sheetViews>
    <sheetView topLeftCell="A34" zoomScale="120" zoomScaleNormal="120" workbookViewId="0">
      <selection activeCell="N51" sqref="N51"/>
    </sheetView>
  </sheetViews>
  <sheetFormatPr defaultRowHeight="14.25" x14ac:dyDescent="0.2"/>
  <cols>
    <col min="1" max="1" width="18.5" customWidth="1"/>
  </cols>
  <sheetData>
    <row r="1" spans="1:6" x14ac:dyDescent="0.2">
      <c r="A1" s="14" t="s">
        <v>49</v>
      </c>
      <c r="B1" s="14" t="s">
        <v>48</v>
      </c>
      <c r="C1" s="14" t="s">
        <v>47</v>
      </c>
    </row>
    <row r="2" spans="1:6" x14ac:dyDescent="0.2">
      <c r="A2" t="s">
        <v>45</v>
      </c>
      <c r="B2" s="13">
        <v>1</v>
      </c>
      <c r="C2" t="s">
        <v>52</v>
      </c>
    </row>
    <row r="3" spans="1:6" x14ac:dyDescent="0.2">
      <c r="A3" t="s">
        <v>46</v>
      </c>
      <c r="B3" s="13">
        <v>1</v>
      </c>
      <c r="C3" s="15" t="s">
        <v>51</v>
      </c>
      <c r="D3" s="16"/>
    </row>
    <row r="4" spans="1:6" x14ac:dyDescent="0.2">
      <c r="A4" t="s">
        <v>44</v>
      </c>
      <c r="B4" s="13">
        <v>1</v>
      </c>
      <c r="C4" s="15" t="s">
        <v>50</v>
      </c>
    </row>
    <row r="5" spans="1:6" x14ac:dyDescent="0.2">
      <c r="A5" t="s">
        <v>43</v>
      </c>
      <c r="B5" s="13">
        <v>1</v>
      </c>
      <c r="C5" s="15" t="s">
        <v>53</v>
      </c>
    </row>
    <row r="6" spans="1:6" x14ac:dyDescent="0.2">
      <c r="A6" t="s">
        <v>41</v>
      </c>
      <c r="B6" s="13" t="s">
        <v>42</v>
      </c>
      <c r="C6" t="s">
        <v>40</v>
      </c>
      <c r="F6" s="16"/>
    </row>
    <row r="7" spans="1:6" x14ac:dyDescent="0.2">
      <c r="A7" s="13">
        <v>0</v>
      </c>
      <c r="B7" s="13" t="s">
        <v>41</v>
      </c>
      <c r="C7" t="s">
        <v>39</v>
      </c>
    </row>
    <row r="9" spans="1:6" x14ac:dyDescent="0.2">
      <c r="A9" s="11">
        <v>45039</v>
      </c>
      <c r="B9" s="17"/>
    </row>
    <row r="10" spans="1:6" x14ac:dyDescent="0.2">
      <c r="A10" t="s">
        <v>54</v>
      </c>
    </row>
    <row r="11" spans="1:6" x14ac:dyDescent="0.2">
      <c r="A11" t="s">
        <v>55</v>
      </c>
    </row>
    <row r="12" spans="1:6" x14ac:dyDescent="0.2">
      <c r="A12" t="s">
        <v>56</v>
      </c>
    </row>
    <row r="13" spans="1:6" x14ac:dyDescent="0.2">
      <c r="A13" t="s">
        <v>57</v>
      </c>
    </row>
    <row r="14" spans="1:6" x14ac:dyDescent="0.2">
      <c r="A14" t="s">
        <v>58</v>
      </c>
    </row>
    <row r="15" spans="1:6" x14ac:dyDescent="0.2">
      <c r="A15" t="s">
        <v>60</v>
      </c>
    </row>
    <row r="16" spans="1:6" x14ac:dyDescent="0.2">
      <c r="A16" t="s">
        <v>59</v>
      </c>
    </row>
    <row r="21" spans="1:1" x14ac:dyDescent="0.2">
      <c r="A21" t="s">
        <v>61</v>
      </c>
    </row>
    <row r="22" spans="1:1" x14ac:dyDescent="0.2">
      <c r="A22" t="s">
        <v>62</v>
      </c>
    </row>
    <row r="46" spans="1:2" x14ac:dyDescent="0.2">
      <c r="A46" t="s">
        <v>91</v>
      </c>
      <c r="B46" t="s">
        <v>92</v>
      </c>
    </row>
    <row r="47" spans="1:2" x14ac:dyDescent="0.2">
      <c r="A47" t="s">
        <v>90</v>
      </c>
      <c r="B47">
        <v>0</v>
      </c>
    </row>
    <row r="48" spans="1:2" x14ac:dyDescent="0.2">
      <c r="A48" t="s">
        <v>93</v>
      </c>
      <c r="B48">
        <v>1</v>
      </c>
    </row>
    <row r="49" spans="1:2" x14ac:dyDescent="0.2">
      <c r="A49" t="s">
        <v>94</v>
      </c>
      <c r="B49">
        <v>2</v>
      </c>
    </row>
    <row r="50" spans="1:2" x14ac:dyDescent="0.2">
      <c r="A50" t="s">
        <v>95</v>
      </c>
      <c r="B50">
        <v>3</v>
      </c>
    </row>
  </sheetData>
  <phoneticPr fontId="1" type="noConversion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9:B40"/>
  <sheetViews>
    <sheetView topLeftCell="A22" workbookViewId="0">
      <selection activeCell="N39" sqref="N39"/>
    </sheetView>
  </sheetViews>
  <sheetFormatPr defaultRowHeight="14.25" x14ac:dyDescent="0.2"/>
  <cols>
    <col min="2" max="2" width="33.375" customWidth="1"/>
    <col min="5" max="5" width="11.375" customWidth="1"/>
  </cols>
  <sheetData>
    <row r="39" spans="1:2" ht="228" x14ac:dyDescent="0.2">
      <c r="A39" t="s">
        <v>133</v>
      </c>
      <c r="B39" s="10" t="s">
        <v>135</v>
      </c>
    </row>
    <row r="40" spans="1:2" ht="128.25" x14ac:dyDescent="0.2">
      <c r="A40" t="s">
        <v>134</v>
      </c>
      <c r="B40" s="10" t="s">
        <v>136</v>
      </c>
    </row>
  </sheetData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List</vt:lpstr>
      <vt:lpstr>TODO</vt:lpstr>
      <vt:lpstr>OA</vt:lpstr>
      <vt:lpstr>Sheet2</vt:lpstr>
      <vt:lpstr>Sheet3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Apollo Zhang</dc:creator>
  <cp:lastModifiedBy>cn8080</cp:lastModifiedBy>
  <dcterms:created xsi:type="dcterms:W3CDTF">2015-06-05T18:19:34Z</dcterms:created>
  <dcterms:modified xsi:type="dcterms:W3CDTF">2024-01-29T06:31:58Z</dcterms:modified>
</cp:coreProperties>
</file>